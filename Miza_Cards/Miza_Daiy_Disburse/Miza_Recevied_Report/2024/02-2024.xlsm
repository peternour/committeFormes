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5352" windowWidth="22272" windowHeight="12648"/>
  </bookViews>
  <sheets>
    <sheet name="Sheet1" sheetId="1" r:id="rId1"/>
  </sheets>
  <definedNames>
    <definedName name="_xlnm._FilterDatabase" localSheetId="0" hidden="1">Sheet1!$A$1:$P$1</definedName>
  </definedNames>
  <calcPr calcId="162913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5" i="1" l="1"/>
  <c r="O6" i="1"/>
  <c r="O102" i="1"/>
  <c r="O103" i="1"/>
  <c r="O7" i="1"/>
  <c r="O8" i="1"/>
  <c r="O9" i="1"/>
  <c r="O104" i="1"/>
  <c r="O105" i="1"/>
  <c r="O106" i="1"/>
  <c r="O107" i="1"/>
  <c r="O108" i="1"/>
  <c r="O109" i="1"/>
  <c r="O110" i="1"/>
  <c r="O111" i="1"/>
  <c r="G5" i="1"/>
  <c r="G6" i="1"/>
  <c r="G102" i="1"/>
  <c r="G103" i="1"/>
  <c r="G7" i="1"/>
  <c r="G8" i="1"/>
  <c r="G9" i="1"/>
  <c r="G104" i="1"/>
  <c r="G105" i="1"/>
  <c r="G106" i="1"/>
  <c r="G107" i="1"/>
  <c r="G108" i="1"/>
  <c r="G109" i="1"/>
  <c r="G110" i="1"/>
  <c r="G111" i="1"/>
  <c r="U77" i="1" l="1"/>
  <c r="U74" i="1" l="1"/>
  <c r="U32" i="1" l="1"/>
  <c r="U33" i="1"/>
  <c r="U34" i="1"/>
  <c r="U35" i="1"/>
  <c r="U36" i="1"/>
  <c r="U37" i="1"/>
  <c r="U38" i="1"/>
  <c r="U39" i="1"/>
  <c r="U31" i="1"/>
  <c r="O22" i="1" l="1"/>
  <c r="O23" i="1"/>
  <c r="O58" i="1"/>
  <c r="O93" i="1"/>
  <c r="O94" i="1"/>
  <c r="O24" i="1"/>
  <c r="O59" i="1"/>
  <c r="O12" i="1"/>
  <c r="O25" i="1"/>
  <c r="O95" i="1"/>
  <c r="O13" i="1"/>
  <c r="O26" i="1"/>
  <c r="O27" i="1"/>
  <c r="O96" i="1"/>
  <c r="O97" i="1"/>
  <c r="O28" i="1"/>
  <c r="O98" i="1"/>
  <c r="O29" i="1"/>
  <c r="O99" i="1"/>
  <c r="O100" i="1"/>
  <c r="O30" i="1"/>
  <c r="O14" i="1"/>
  <c r="O101" i="1"/>
  <c r="O4" i="1"/>
  <c r="O31" i="1"/>
  <c r="O32" i="1"/>
  <c r="O33" i="1"/>
  <c r="O34" i="1"/>
  <c r="G22" i="1" l="1"/>
  <c r="G23" i="1"/>
  <c r="G58" i="1"/>
  <c r="G93" i="1"/>
  <c r="G94" i="1"/>
  <c r="G24" i="1"/>
  <c r="G59" i="1"/>
  <c r="G12" i="1"/>
  <c r="G25" i="1"/>
  <c r="G95" i="1"/>
  <c r="G13" i="1"/>
  <c r="G26" i="1"/>
  <c r="G27" i="1"/>
  <c r="G96" i="1"/>
  <c r="G97" i="1"/>
  <c r="G28" i="1"/>
  <c r="G98" i="1"/>
  <c r="G29" i="1"/>
  <c r="G99" i="1"/>
  <c r="G100" i="1"/>
  <c r="G30" i="1"/>
  <c r="G14" i="1"/>
  <c r="G101" i="1"/>
  <c r="G4" i="1"/>
  <c r="G31" i="1"/>
  <c r="G32" i="1"/>
  <c r="G33" i="1"/>
  <c r="G34" i="1"/>
  <c r="O63" i="1" l="1"/>
  <c r="O74" i="1"/>
  <c r="O75" i="1"/>
  <c r="O39" i="1"/>
  <c r="O56" i="1"/>
  <c r="O68" i="1"/>
  <c r="O69" i="1"/>
  <c r="O70" i="1"/>
  <c r="O71" i="1"/>
  <c r="O72" i="1"/>
  <c r="O76" i="1"/>
  <c r="O40" i="1"/>
  <c r="O57" i="1"/>
  <c r="O77" i="1"/>
  <c r="O21" i="1"/>
  <c r="O78" i="1"/>
  <c r="O16" i="1"/>
  <c r="O84" i="1"/>
  <c r="O41" i="1"/>
  <c r="O91" i="1"/>
  <c r="O92" i="1"/>
  <c r="G63" i="1" l="1"/>
  <c r="G74" i="1"/>
  <c r="G75" i="1"/>
  <c r="G39" i="1"/>
  <c r="G56" i="1"/>
  <c r="G68" i="1"/>
  <c r="G69" i="1"/>
  <c r="G70" i="1"/>
  <c r="G71" i="1"/>
  <c r="G72" i="1"/>
  <c r="G76" i="1"/>
  <c r="G40" i="1"/>
  <c r="G57" i="1"/>
  <c r="G77" i="1"/>
  <c r="G21" i="1"/>
  <c r="G78" i="1"/>
  <c r="G16" i="1"/>
  <c r="G84" i="1"/>
  <c r="G41" i="1"/>
  <c r="G91" i="1"/>
  <c r="G92" i="1"/>
  <c r="O60" i="1" l="1"/>
  <c r="O43" i="1"/>
  <c r="O44" i="1"/>
  <c r="O45" i="1"/>
  <c r="O79" i="1"/>
  <c r="O46" i="1"/>
  <c r="O17" i="1"/>
  <c r="O47" i="1"/>
  <c r="O35" i="1"/>
  <c r="O48" i="1"/>
  <c r="O85" i="1"/>
  <c r="O15" i="1"/>
  <c r="O86" i="1"/>
  <c r="O49" i="1"/>
  <c r="O61" i="1"/>
  <c r="O10" i="1"/>
  <c r="O50" i="1"/>
  <c r="O2" i="1"/>
  <c r="O87" i="1"/>
  <c r="O80" i="1"/>
  <c r="O3" i="1"/>
  <c r="O81" i="1"/>
  <c r="O82" i="1"/>
  <c r="O51" i="1"/>
  <c r="O83" i="1"/>
  <c r="O64" i="1"/>
  <c r="O65" i="1"/>
  <c r="O66" i="1"/>
  <c r="O52" i="1"/>
  <c r="O36" i="1"/>
  <c r="O37" i="1"/>
  <c r="O18" i="1"/>
  <c r="O19" i="1"/>
  <c r="O53" i="1"/>
  <c r="O67" i="1"/>
  <c r="O42" i="1"/>
  <c r="O11" i="1"/>
  <c r="O88" i="1"/>
  <c r="O54" i="1"/>
  <c r="O62" i="1"/>
  <c r="O38" i="1"/>
  <c r="O55" i="1"/>
  <c r="O89" i="1"/>
  <c r="O73" i="1"/>
  <c r="O90" i="1"/>
  <c r="O20" i="1"/>
  <c r="G20" i="1"/>
  <c r="G60" i="1"/>
  <c r="G43" i="1"/>
  <c r="G44" i="1"/>
  <c r="G45" i="1"/>
  <c r="G79" i="1"/>
  <c r="G46" i="1"/>
  <c r="G17" i="1"/>
  <c r="G47" i="1"/>
  <c r="G35" i="1"/>
  <c r="G48" i="1"/>
  <c r="G85" i="1"/>
  <c r="G15" i="1"/>
  <c r="G86" i="1"/>
  <c r="G49" i="1"/>
  <c r="G61" i="1"/>
  <c r="G10" i="1"/>
  <c r="G50" i="1"/>
  <c r="G2" i="1"/>
  <c r="G87" i="1"/>
  <c r="G80" i="1"/>
  <c r="G3" i="1"/>
  <c r="G81" i="1"/>
  <c r="G82" i="1"/>
  <c r="G51" i="1"/>
  <c r="G83" i="1"/>
  <c r="G64" i="1"/>
  <c r="G65" i="1"/>
  <c r="G66" i="1"/>
  <c r="G52" i="1"/>
  <c r="G36" i="1"/>
  <c r="G37" i="1"/>
  <c r="G18" i="1"/>
  <c r="G19" i="1"/>
  <c r="G53" i="1"/>
  <c r="G67" i="1"/>
  <c r="G42" i="1"/>
  <c r="G11" i="1"/>
  <c r="G88" i="1"/>
  <c r="G54" i="1"/>
  <c r="G62" i="1"/>
  <c r="G38" i="1"/>
  <c r="G55" i="1"/>
  <c r="G89" i="1"/>
  <c r="G73" i="1"/>
  <c r="G90" i="1"/>
</calcChain>
</file>

<file path=xl/sharedStrings.xml><?xml version="1.0" encoding="utf-8"?>
<sst xmlns="http://schemas.openxmlformats.org/spreadsheetml/2006/main" count="942" uniqueCount="480">
  <si>
    <t>اسم العميل</t>
  </si>
  <si>
    <t xml:space="preserve">رقم كارت ميزه </t>
  </si>
  <si>
    <t xml:space="preserve">الرقم القومي </t>
  </si>
  <si>
    <t>رقم الموبايل</t>
  </si>
  <si>
    <t>0313</t>
  </si>
  <si>
    <t>5078</t>
  </si>
  <si>
    <t>م</t>
  </si>
  <si>
    <t>الاخصائي</t>
  </si>
  <si>
    <t>كود العميل</t>
  </si>
  <si>
    <t>خانه1</t>
  </si>
  <si>
    <t>خانه2</t>
  </si>
  <si>
    <t>خانه3</t>
  </si>
  <si>
    <t>خانه4</t>
  </si>
  <si>
    <t>رقم المحمول</t>
  </si>
  <si>
    <t>مبلغ القرض</t>
  </si>
  <si>
    <t>التمويل</t>
  </si>
  <si>
    <t>المدة</t>
  </si>
  <si>
    <t>8375</t>
  </si>
  <si>
    <t>5471</t>
  </si>
  <si>
    <t>6533</t>
  </si>
  <si>
    <t>4753</t>
  </si>
  <si>
    <t>2609</t>
  </si>
  <si>
    <t>8219</t>
  </si>
  <si>
    <t>1402</t>
  </si>
  <si>
    <t>3195</t>
  </si>
  <si>
    <t>8125</t>
  </si>
  <si>
    <t>9136</t>
  </si>
  <si>
    <t>4313</t>
  </si>
  <si>
    <t>8625</t>
  </si>
  <si>
    <t>1509</t>
  </si>
  <si>
    <t>0108</t>
  </si>
  <si>
    <t>6840</t>
  </si>
  <si>
    <t>5288</t>
  </si>
  <si>
    <t>0711</t>
  </si>
  <si>
    <t>8947</t>
  </si>
  <si>
    <t>1526</t>
  </si>
  <si>
    <t>1738</t>
  </si>
  <si>
    <t>6028</t>
  </si>
  <si>
    <t>4686</t>
  </si>
  <si>
    <t>8087</t>
  </si>
  <si>
    <t>2766</t>
  </si>
  <si>
    <t>7573</t>
  </si>
  <si>
    <t>0131</t>
  </si>
  <si>
    <t>8416</t>
  </si>
  <si>
    <t>1932</t>
  </si>
  <si>
    <t>1219</t>
  </si>
  <si>
    <t>0383</t>
  </si>
  <si>
    <t>4187</t>
  </si>
  <si>
    <t>4007</t>
  </si>
  <si>
    <t>4057</t>
  </si>
  <si>
    <t>4004</t>
  </si>
  <si>
    <t>4594</t>
  </si>
  <si>
    <t>6652</t>
  </si>
  <si>
    <t>9279</t>
  </si>
  <si>
    <t>7628</t>
  </si>
  <si>
    <t>9897</t>
  </si>
  <si>
    <t>2225</t>
  </si>
  <si>
    <t>6108</t>
  </si>
  <si>
    <t>5344</t>
  </si>
  <si>
    <t>2251</t>
  </si>
  <si>
    <t>0182</t>
  </si>
  <si>
    <t>3185</t>
  </si>
  <si>
    <t>3565</t>
  </si>
  <si>
    <t>5161</t>
  </si>
  <si>
    <t>0218</t>
  </si>
  <si>
    <t>4626</t>
  </si>
  <si>
    <t>2968</t>
  </si>
  <si>
    <t>2507</t>
  </si>
  <si>
    <t>9623</t>
  </si>
  <si>
    <t>2851</t>
  </si>
  <si>
    <t>2869</t>
  </si>
  <si>
    <t>9448</t>
  </si>
  <si>
    <t>9562</t>
  </si>
  <si>
    <t>0187</t>
  </si>
  <si>
    <t>5283</t>
  </si>
  <si>
    <t>9801</t>
  </si>
  <si>
    <t>6718</t>
  </si>
  <si>
    <t>4495</t>
  </si>
  <si>
    <t>0960</t>
  </si>
  <si>
    <t>4577</t>
  </si>
  <si>
    <t>4526</t>
  </si>
  <si>
    <t>9422</t>
  </si>
  <si>
    <t>7061</t>
  </si>
  <si>
    <t>4865</t>
  </si>
  <si>
    <t>8973</t>
  </si>
  <si>
    <t>3553</t>
  </si>
  <si>
    <t>4476</t>
  </si>
  <si>
    <t>0802</t>
  </si>
  <si>
    <t>6302</t>
  </si>
  <si>
    <t>7152</t>
  </si>
  <si>
    <t>1577</t>
  </si>
  <si>
    <t>8757</t>
  </si>
  <si>
    <t>7688</t>
  </si>
  <si>
    <t>7297</t>
  </si>
  <si>
    <t>1151</t>
  </si>
  <si>
    <t>5502</t>
  </si>
  <si>
    <t>7997</t>
  </si>
  <si>
    <t>7036</t>
  </si>
  <si>
    <t>1405</t>
  </si>
  <si>
    <t>0561</t>
  </si>
  <si>
    <t>5289</t>
  </si>
  <si>
    <t>8537</t>
  </si>
  <si>
    <t>6182</t>
  </si>
  <si>
    <t>1962</t>
  </si>
  <si>
    <t>0580</t>
  </si>
  <si>
    <t>5933</t>
  </si>
  <si>
    <t>3128</t>
  </si>
  <si>
    <t>2247</t>
  </si>
  <si>
    <t>7200</t>
  </si>
  <si>
    <t>5615</t>
  </si>
  <si>
    <t>2588</t>
  </si>
  <si>
    <t>0582</t>
  </si>
  <si>
    <t>9823</t>
  </si>
  <si>
    <t>3682</t>
  </si>
  <si>
    <t>3811</t>
  </si>
  <si>
    <t>3300</t>
  </si>
  <si>
    <t>1874</t>
  </si>
  <si>
    <t>9814</t>
  </si>
  <si>
    <t>7356</t>
  </si>
  <si>
    <t>1938</t>
  </si>
  <si>
    <t>7909</t>
  </si>
  <si>
    <t>4990</t>
  </si>
  <si>
    <t>6397</t>
  </si>
  <si>
    <t>6114</t>
  </si>
  <si>
    <t>2137</t>
  </si>
  <si>
    <t>0081</t>
  </si>
  <si>
    <t>3913</t>
  </si>
  <si>
    <t>كيرلس عاطف</t>
  </si>
  <si>
    <t>سميره القس شنوده يوحنا حبيب</t>
  </si>
  <si>
    <t>ايمن وردي حبيب بساده</t>
  </si>
  <si>
    <t>رزيقي تفيد صليب محارب</t>
  </si>
  <si>
    <t>شرين محروس فهمي غليني</t>
  </si>
  <si>
    <t>صفوت نادر كامل اسحق</t>
  </si>
  <si>
    <t>حلمي صبري علام حسين</t>
  </si>
  <si>
    <t>صفيه عبدالباري عبدالسلام سلام</t>
  </si>
  <si>
    <t>محمود علي عمر احمد</t>
  </si>
  <si>
    <t>ايمان فتح الله توفيق حسن</t>
  </si>
  <si>
    <t>ناصر فوزي بلامون محارب</t>
  </si>
  <si>
    <t>عزالدين كامل محمد فراج</t>
  </si>
  <si>
    <t>بسمه العريان عبدالله احمد</t>
  </si>
  <si>
    <t>طلعت محمدين حامد محمد</t>
  </si>
  <si>
    <t>عبدالعليم عادل عبدالعليم كلحي</t>
  </si>
  <si>
    <t>كريمه متواضع جرس مسداري</t>
  </si>
  <si>
    <t>احمد همام علي محمد</t>
  </si>
  <si>
    <t>اسامه علي حافظ سيد</t>
  </si>
  <si>
    <t>ميرا جرجس منصور روفائيل</t>
  </si>
  <si>
    <t>ساره محمد فاضل ابراهيم</t>
  </si>
  <si>
    <t>بخيته مبارك رمضان جادالكريم</t>
  </si>
  <si>
    <t>موسي عبده عبدالعظيم عبدالحليم</t>
  </si>
  <si>
    <t>انطونيوس قاعود عياد شنوده</t>
  </si>
  <si>
    <t>نجاح محمود محمد عبدالكريم</t>
  </si>
  <si>
    <t>حسين عبدالهادي محمد علي</t>
  </si>
  <si>
    <t>هاني عادل فؤاد بسله</t>
  </si>
  <si>
    <t>لمياء رمضان مرعي ابوزيد</t>
  </si>
  <si>
    <t>كريمه عبده عبدالعليم جاد</t>
  </si>
  <si>
    <t>كرستين جاد عبيد جاد</t>
  </si>
  <si>
    <t>سعيد محروس فهمي عبادي</t>
  </si>
  <si>
    <t>دعاء احمد عكاشه محمد</t>
  </si>
  <si>
    <t>ابانوب هاني فتحي يعقوب</t>
  </si>
  <si>
    <t>سامي بشري شوهار راغب</t>
  </si>
  <si>
    <t>شنوده بشري شوهار راغب</t>
  </si>
  <si>
    <t>مينا سمير جاد حبيب</t>
  </si>
  <si>
    <t>خلود حمدي علي اسماعيل</t>
  </si>
  <si>
    <t>كريمه حمدي محمد عبدالحافظ</t>
  </si>
  <si>
    <t>يسرا محمد ناجي محمد</t>
  </si>
  <si>
    <t>اسراء عزالدين كامل محمد</t>
  </si>
  <si>
    <t>صفاء عبدالوهاب توفيق محمد</t>
  </si>
  <si>
    <t>مينا حنا هابيل طوني</t>
  </si>
  <si>
    <t>نجاح سيايدي محمد سعيد</t>
  </si>
  <si>
    <t>مينا نصري يوسف توفيق</t>
  </si>
  <si>
    <t>حليم حلمي فهمي واصف</t>
  </si>
  <si>
    <t>مينا اسامه صليب حافظ</t>
  </si>
  <si>
    <t>سلوي محمد محمود علي</t>
  </si>
  <si>
    <t>محمد عبدالهادي ابراهيم حسن</t>
  </si>
  <si>
    <t>فاطمه ادور عبدالمعروف محمد</t>
  </si>
  <si>
    <t>جرجس انسي وصفي جبرائيل</t>
  </si>
  <si>
    <t>مكاريوس انسي وصفي جبرائيل</t>
  </si>
  <si>
    <t>علي ابوزيد عبيد يونس</t>
  </si>
  <si>
    <t>مارتينا نبيل عبده ميخائيل</t>
  </si>
  <si>
    <t>صفاء سعد علي محمد</t>
  </si>
  <si>
    <t>نفين جرجس جرس بخيت</t>
  </si>
  <si>
    <t>دعاء عيسي محمد حسين</t>
  </si>
  <si>
    <t>مارينا ممدوح لمعي بلامون</t>
  </si>
  <si>
    <t>نسرين محمد حسين محمد</t>
  </si>
  <si>
    <t>روماني كمال مسعد بقطر</t>
  </si>
  <si>
    <t>صابرين شحاته محمد عبدالباقي</t>
  </si>
  <si>
    <t>ساميه وصفي بلامون محارب</t>
  </si>
  <si>
    <t>كاترين زكريا جيد برهام</t>
  </si>
  <si>
    <t>اكرام عبدالرحيم نورالدين عثمان</t>
  </si>
  <si>
    <t>روماني حنا مهني حنا</t>
  </si>
  <si>
    <t>محمد حسن كامل اسماعيل</t>
  </si>
  <si>
    <t>عبدالرحمن كرم علي حسين</t>
  </si>
  <si>
    <t>جمال فوزي ابراهيم محمد</t>
  </si>
  <si>
    <t>كارم سليم محمد علي</t>
  </si>
  <si>
    <t>احمد علي ابوزيد عبيد</t>
  </si>
  <si>
    <t>01272226329</t>
  </si>
  <si>
    <t>01118286961</t>
  </si>
  <si>
    <t>اميل رفعت حبيب بساده</t>
  </si>
  <si>
    <t>01228709189</t>
  </si>
  <si>
    <t>01275556652</t>
  </si>
  <si>
    <t>هدرا وحيد دكران</t>
  </si>
  <si>
    <t>01280855258</t>
  </si>
  <si>
    <t>مينا مخلف نسيم</t>
  </si>
  <si>
    <t>01094775662</t>
  </si>
  <si>
    <t>ابانوب عاطف سعدى</t>
  </si>
  <si>
    <t>01023401271</t>
  </si>
  <si>
    <t>01093630563</t>
  </si>
  <si>
    <t>01227328963</t>
  </si>
  <si>
    <t>01284265233</t>
  </si>
  <si>
    <t>01016545586</t>
  </si>
  <si>
    <t>ابانوب سعيد وصفى</t>
  </si>
  <si>
    <t>01016792841</t>
  </si>
  <si>
    <t>01001256576</t>
  </si>
  <si>
    <t>01028915830</t>
  </si>
  <si>
    <t>01202239276</t>
  </si>
  <si>
    <t>كيرلس عاطف ثابت</t>
  </si>
  <si>
    <t>01000171823</t>
  </si>
  <si>
    <t>01005144339</t>
  </si>
  <si>
    <t>اميل معوض فخرى</t>
  </si>
  <si>
    <t>01272641353</t>
  </si>
  <si>
    <t>01144034328</t>
  </si>
  <si>
    <t>01029354812</t>
  </si>
  <si>
    <t>01099595234</t>
  </si>
  <si>
    <t>01220020821</t>
  </si>
  <si>
    <t>01063816272</t>
  </si>
  <si>
    <t>01050202618</t>
  </si>
  <si>
    <t>01288869075</t>
  </si>
  <si>
    <t>01022396833</t>
  </si>
  <si>
    <t>01030414212</t>
  </si>
  <si>
    <t>01552179686</t>
  </si>
  <si>
    <t>01112881765</t>
  </si>
  <si>
    <t>01099398140</t>
  </si>
  <si>
    <t>01277399997</t>
  </si>
  <si>
    <t>نصحى مقار نصحى</t>
  </si>
  <si>
    <t>01212427618</t>
  </si>
  <si>
    <t>01273258063</t>
  </si>
  <si>
    <t>01271071174</t>
  </si>
  <si>
    <t>01014174579</t>
  </si>
  <si>
    <t>01024119678</t>
  </si>
  <si>
    <t>01063265111</t>
  </si>
  <si>
    <t>01010712396</t>
  </si>
  <si>
    <t>01065155605</t>
  </si>
  <si>
    <t>01094329395</t>
  </si>
  <si>
    <t>01024372558</t>
  </si>
  <si>
    <t>01285160424</t>
  </si>
  <si>
    <t>01068985035</t>
  </si>
  <si>
    <t>01018531600</t>
  </si>
  <si>
    <t>01117891859</t>
  </si>
  <si>
    <t>01066326071</t>
  </si>
  <si>
    <t>01201929726</t>
  </si>
  <si>
    <t>01275157440</t>
  </si>
  <si>
    <t>01010930055</t>
  </si>
  <si>
    <t>01284807958</t>
  </si>
  <si>
    <t>01090975093</t>
  </si>
  <si>
    <t>01017373449</t>
  </si>
  <si>
    <t>01220425009</t>
  </si>
  <si>
    <t>01020153551</t>
  </si>
  <si>
    <t>01288488773</t>
  </si>
  <si>
    <t>01146281732</t>
  </si>
  <si>
    <t>01200727840</t>
  </si>
  <si>
    <t>01226612013</t>
  </si>
  <si>
    <t>01101136897</t>
  </si>
  <si>
    <t>01222477904</t>
  </si>
  <si>
    <t>01010009260</t>
  </si>
  <si>
    <t>01024705016</t>
  </si>
  <si>
    <t>01097455160</t>
  </si>
  <si>
    <t>01095480582</t>
  </si>
  <si>
    <t>01027350904</t>
  </si>
  <si>
    <t>الاسباني</t>
  </si>
  <si>
    <t>0320</t>
  </si>
  <si>
    <t>1098</t>
  </si>
  <si>
    <t>9209</t>
  </si>
  <si>
    <t>1063</t>
  </si>
  <si>
    <t>7618</t>
  </si>
  <si>
    <t>7675</t>
  </si>
  <si>
    <t>8178</t>
  </si>
  <si>
    <t>8160</t>
  </si>
  <si>
    <t>7709</t>
  </si>
  <si>
    <t>7691</t>
  </si>
  <si>
    <t>7642</t>
  </si>
  <si>
    <t>8194</t>
  </si>
  <si>
    <t>7634</t>
  </si>
  <si>
    <t>8186</t>
  </si>
  <si>
    <t>7683</t>
  </si>
  <si>
    <t xml:space="preserve"> </t>
  </si>
  <si>
    <t>7858</t>
  </si>
  <si>
    <t>0709</t>
  </si>
  <si>
    <t>ايدي</t>
  </si>
  <si>
    <t>اهلي</t>
  </si>
  <si>
    <t>1335</t>
  </si>
  <si>
    <t>5076</t>
  </si>
  <si>
    <t>0586</t>
  </si>
  <si>
    <t>8433</t>
  </si>
  <si>
    <t>0132</t>
  </si>
  <si>
    <t>0751</t>
  </si>
  <si>
    <t>9708</t>
  </si>
  <si>
    <t>3057</t>
  </si>
  <si>
    <t>ميلاد صليب فتح الله يسطس</t>
  </si>
  <si>
    <t>نشات نصحي ونس بطرس</t>
  </si>
  <si>
    <t>سليمان احمد محمد خليل</t>
  </si>
  <si>
    <t>صابرين صالح احمد قناوي</t>
  </si>
  <si>
    <t>سمير احمد عبدالرحيم محمود</t>
  </si>
  <si>
    <t>ابانوب موسي ماركو عبدالمسيح</t>
  </si>
  <si>
    <t>حسن محمد محمد احمد وهبه</t>
  </si>
  <si>
    <t>محمود عبدالزين لطفي عبدالشافي</t>
  </si>
  <si>
    <t>احمد حسن احمد رسلان</t>
  </si>
  <si>
    <t>شريهان بركات ابراهيم محمود</t>
  </si>
  <si>
    <t>اسلام علام محمد مهران</t>
  </si>
  <si>
    <t>امال عبدالهادي ابراهيم حسين</t>
  </si>
  <si>
    <t>شيماء صالح احمد قناوي</t>
  </si>
  <si>
    <t>صفوت كامل ربيع احمد</t>
  </si>
  <si>
    <t>محمد عبدالفتاح التقي ابوالحسن</t>
  </si>
  <si>
    <t>كريمه محمود عثمان رضوان</t>
  </si>
  <si>
    <t>بولا اسحق برتوس نقده</t>
  </si>
  <si>
    <t>بدور عبدالرحيم نورالدين عثمان</t>
  </si>
  <si>
    <t>مكاريوس جمال فهيم مخائيل</t>
  </si>
  <si>
    <t>عاشور فتحي زكي خليفه</t>
  </si>
  <si>
    <t>علي الصاوي محمود احمد</t>
  </si>
  <si>
    <t>سمر حمدي خلف الله مناع</t>
  </si>
  <si>
    <t>انطون اسحق برتوس نقده</t>
  </si>
  <si>
    <t>عزت صبحي مهني لبس</t>
  </si>
  <si>
    <t>ساميه عبدالصبور حمدي محمود</t>
  </si>
  <si>
    <t>اسماء خلف حسن رسلان</t>
  </si>
  <si>
    <t>ولاء تقي سالم حامد</t>
  </si>
  <si>
    <t>زينب صبري عبدالحميد احمد</t>
  </si>
  <si>
    <t>01006837768</t>
  </si>
  <si>
    <t>01285361966</t>
  </si>
  <si>
    <t>01063675871</t>
  </si>
  <si>
    <t>01000762850</t>
  </si>
  <si>
    <t>01006899633</t>
  </si>
  <si>
    <t>01224004125</t>
  </si>
  <si>
    <t>01016174534</t>
  </si>
  <si>
    <t>01069526988</t>
  </si>
  <si>
    <t>01017106816</t>
  </si>
  <si>
    <t>01127193890</t>
  </si>
  <si>
    <t>01014675622</t>
  </si>
  <si>
    <t>01062050401</t>
  </si>
  <si>
    <t>01016959099</t>
  </si>
  <si>
    <t>01028141027</t>
  </si>
  <si>
    <t>01114681008</t>
  </si>
  <si>
    <t>01067867040</t>
  </si>
  <si>
    <t>01144179189</t>
  </si>
  <si>
    <t>01200228559</t>
  </si>
  <si>
    <t>01115914183</t>
  </si>
  <si>
    <t>01024095782</t>
  </si>
  <si>
    <t>01115772126</t>
  </si>
  <si>
    <t>0621</t>
  </si>
  <si>
    <t>2045</t>
  </si>
  <si>
    <t>6846</t>
  </si>
  <si>
    <t>5499</t>
  </si>
  <si>
    <t>6496</t>
  </si>
  <si>
    <t>4677</t>
  </si>
  <si>
    <t>3895</t>
  </si>
  <si>
    <t>7047</t>
  </si>
  <si>
    <t>5381</t>
  </si>
  <si>
    <t>2663</t>
  </si>
  <si>
    <t>6090</t>
  </si>
  <si>
    <t>4842</t>
  </si>
  <si>
    <t>4435</t>
  </si>
  <si>
    <t>1102</t>
  </si>
  <si>
    <t>8568</t>
  </si>
  <si>
    <t>4692</t>
  </si>
  <si>
    <t>2538</t>
  </si>
  <si>
    <t>4999</t>
  </si>
  <si>
    <t>6243</t>
  </si>
  <si>
    <t>4913</t>
  </si>
  <si>
    <t>4159</t>
  </si>
  <si>
    <t>9984</t>
  </si>
  <si>
    <t>3247</t>
  </si>
  <si>
    <t>2977</t>
  </si>
  <si>
    <t>3943</t>
  </si>
  <si>
    <t>5696</t>
  </si>
  <si>
    <t>6526</t>
  </si>
  <si>
    <t>8664</t>
  </si>
  <si>
    <t>4641</t>
  </si>
  <si>
    <t>2431</t>
  </si>
  <si>
    <t>5650</t>
  </si>
  <si>
    <t>0737</t>
  </si>
  <si>
    <t>1604</t>
  </si>
  <si>
    <t>6151</t>
  </si>
  <si>
    <t>9949</t>
  </si>
  <si>
    <t>6950</t>
  </si>
  <si>
    <t>5148</t>
  </si>
  <si>
    <t>3202</t>
  </si>
  <si>
    <t>4655</t>
  </si>
  <si>
    <t>2343</t>
  </si>
  <si>
    <t>4681</t>
  </si>
  <si>
    <t>9056</t>
  </si>
  <si>
    <t>5779</t>
  </si>
  <si>
    <t>0354</t>
  </si>
  <si>
    <t>1693</t>
  </si>
  <si>
    <t>6871</t>
  </si>
  <si>
    <t>7469</t>
  </si>
  <si>
    <t>6134</t>
  </si>
  <si>
    <t>5250</t>
  </si>
  <si>
    <t>6232</t>
  </si>
  <si>
    <t>3660</t>
  </si>
  <si>
    <t>8220</t>
  </si>
  <si>
    <t>0112</t>
  </si>
  <si>
    <t>اهلي-اساسية</t>
  </si>
  <si>
    <t>01116436146</t>
  </si>
  <si>
    <t>01001543579</t>
  </si>
  <si>
    <t>01020644180</t>
  </si>
  <si>
    <t>01285737379</t>
  </si>
  <si>
    <t>01011030382</t>
  </si>
  <si>
    <t>0099</t>
  </si>
  <si>
    <t>5579</t>
  </si>
  <si>
    <t>01223158694</t>
  </si>
  <si>
    <t>01206662850</t>
  </si>
  <si>
    <t>7064</t>
  </si>
  <si>
    <t>01210837574</t>
  </si>
  <si>
    <t>5370</t>
  </si>
  <si>
    <t>7491</t>
  </si>
  <si>
    <t>8235</t>
  </si>
  <si>
    <t>7805</t>
  </si>
  <si>
    <t>4372</t>
  </si>
  <si>
    <t>8532</t>
  </si>
  <si>
    <t>4396</t>
  </si>
  <si>
    <t>5027</t>
  </si>
  <si>
    <t>كيرلس عجايبي لبيب عطيه</t>
  </si>
  <si>
    <t>ريمون صموئيل زكي ديمتري</t>
  </si>
  <si>
    <t>مني لوقا يعقوب تكلا</t>
  </si>
  <si>
    <t>سلوي عبدالرؤف احمد حسانين</t>
  </si>
  <si>
    <t>جوزيف صموئيل زكي ديمتري</t>
  </si>
  <si>
    <t>مريم عجايبي لبيب عطيه</t>
  </si>
  <si>
    <t>مينا عجايبي لبيب عطيه</t>
  </si>
  <si>
    <t>كيرلس خلبوص بهنام تاوضروس</t>
  </si>
  <si>
    <t>عبدالله علي عبدالحميد بكري</t>
  </si>
  <si>
    <t>اسامه امشيل خليل رزق</t>
  </si>
  <si>
    <t>محمود عبدالجيد عبدالحميد علام</t>
  </si>
  <si>
    <t>بيتر جرجس راشد فرج</t>
  </si>
  <si>
    <t>ريمون جرجس راشد فرج</t>
  </si>
  <si>
    <t>بخيته عبدالسميع همام محمد</t>
  </si>
  <si>
    <t>ايمن رافت عياد اقلاديوس</t>
  </si>
  <si>
    <t>01222742706</t>
  </si>
  <si>
    <t>01060047441</t>
  </si>
  <si>
    <t>01200295518</t>
  </si>
  <si>
    <t>01140413606</t>
  </si>
  <si>
    <t>01281298498</t>
  </si>
  <si>
    <t>01222742807</t>
  </si>
  <si>
    <t>01222745102</t>
  </si>
  <si>
    <t>01113292862</t>
  </si>
  <si>
    <t>01018517613</t>
  </si>
  <si>
    <t>01229920207</t>
  </si>
  <si>
    <t>01026891933</t>
  </si>
  <si>
    <t>01274153814</t>
  </si>
  <si>
    <t>01202535015</t>
  </si>
  <si>
    <t>01120398159</t>
  </si>
  <si>
    <t>01200226770</t>
  </si>
  <si>
    <t>9644</t>
  </si>
  <si>
    <t>5943</t>
  </si>
  <si>
    <t>7257</t>
  </si>
  <si>
    <t>4757</t>
  </si>
  <si>
    <t>3792</t>
  </si>
  <si>
    <t>3230</t>
  </si>
  <si>
    <t>2758</t>
  </si>
  <si>
    <t>2012</t>
  </si>
  <si>
    <t>5945</t>
  </si>
  <si>
    <t>3496</t>
  </si>
  <si>
    <t>6790</t>
  </si>
  <si>
    <t>0280</t>
  </si>
  <si>
    <t>5847</t>
  </si>
  <si>
    <t>2638</t>
  </si>
  <si>
    <t>8319</t>
  </si>
  <si>
    <t>3258</t>
  </si>
  <si>
    <t>8492</t>
  </si>
  <si>
    <t>0378</t>
  </si>
  <si>
    <t>0978</t>
  </si>
  <si>
    <t>8603</t>
  </si>
  <si>
    <t>9089</t>
  </si>
  <si>
    <t>0664</t>
  </si>
  <si>
    <t>4515</t>
  </si>
  <si>
    <t>3143</t>
  </si>
  <si>
    <t>0503</t>
  </si>
  <si>
    <t>2295</t>
  </si>
  <si>
    <t>2317</t>
  </si>
  <si>
    <t>3022</t>
  </si>
  <si>
    <t>4381</t>
  </si>
  <si>
    <t>8713</t>
  </si>
  <si>
    <t>اهلي-فرعية-2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</si>
</sst>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Border="1"/>
    <xf numFmtId="49" fontId="0" fillId="0" borderId="0" xfId="0" applyNumberFormat="1" applyBorder="1" applyAlignment="1">
      <alignment readingOrder="1"/>
    </xf>
    <xf numFmtId="49" fontId="0" fillId="0" borderId="0" xfId="0" applyNumberFormat="1" applyAlignment="1">
      <alignment readingOrder="1"/>
    </xf>
    <xf numFmtId="1" fontId="0" fillId="0" borderId="0" xfId="0" applyNumberFormat="1" applyBorder="1" applyAlignment="1">
      <alignment readingOrder="2"/>
    </xf>
    <xf numFmtId="1" fontId="0" fillId="0" borderId="0" xfId="0" applyNumberFormat="1" applyAlignment="1">
      <alignment readingOrder="2"/>
    </xf>
    <xf numFmtId="1" fontId="0" fillId="0" borderId="0" xfId="0" applyNumberFormat="1" applyBorder="1" applyAlignment="1"/>
    <xf numFmtId="1" fontId="0" fillId="0" borderId="0" xfId="0" applyNumberFormat="1" applyAlignment="1"/>
    <xf numFmtId="1" fontId="0" fillId="0" borderId="0" xfId="0" applyNumberFormat="1" applyBorder="1" applyAlignment="1">
      <alignment readingOrder="1"/>
    </xf>
    <xf numFmtId="1" fontId="0" fillId="0" borderId="0" xfId="0" applyNumberFormat="1" applyAlignment="1">
      <alignment readingOrder="1"/>
    </xf>
    <xf numFmtId="49" fontId="0" fillId="0" borderId="0" xfId="0" applyNumberFormat="1" applyFont="1" applyAlignment="1">
      <alignment horizontal="left" readingOrder="1"/>
    </xf>
    <xf numFmtId="49" fontId="0" fillId="0" borderId="0" xfId="0" applyNumberFormat="1" applyFont="1" applyAlignment="1">
      <alignment readingOrder="1"/>
    </xf>
    <xf numFmtId="1" fontId="0" fillId="0" borderId="0" xfId="0" applyNumberFormat="1" applyFill="1" applyAlignment="1"/>
    <xf numFmtId="0" fontId="0" fillId="0" borderId="0" xfId="0" applyFont="1" applyBorder="1"/>
    <xf numFmtId="0" fontId="0" fillId="0" borderId="0" xfId="0" applyFont="1" applyFill="1" applyBorder="1"/>
    <xf numFmtId="0" fontId="0" fillId="0" borderId="0" xfId="0" applyFont="1"/>
    <xf numFmtId="0" fontId="0" fillId="0" borderId="0" xfId="0" applyFont="1" applyAlignment="1">
      <alignment readingOrder="2"/>
    </xf>
    <xf numFmtId="0" fontId="0" fillId="0" borderId="0" xfId="0" applyFont="1" applyAlignment="1">
      <alignment readingOrder="1"/>
    </xf>
    <xf numFmtId="0" fontId="0" fillId="0" borderId="0" xfId="0" applyFont="1" applyFill="1" applyAlignment="1">
      <alignment readingOrder="1"/>
    </xf>
    <xf numFmtId="49" fontId="0" fillId="0" borderId="0" xfId="0" applyNumberFormat="1"/>
    <xf numFmtId="0" fontId="1" fillId="0" borderId="0" xfId="0" applyFont="1"/>
    <xf numFmtId="1" fontId="1" fillId="0" borderId="0" xfId="0" applyNumberFormat="1" applyFont="1" applyAlignment="1">
      <alignment readingOrder="1"/>
    </xf>
    <xf numFmtId="1" fontId="1" fillId="0" borderId="0" xfId="0" applyNumberFormat="1" applyFont="1" applyAlignment="1">
      <alignment readingOrder="2"/>
    </xf>
  </cellXfs>
  <cellStyles count="1">
    <cellStyle name="Normal" xfId="0" builtinId="0"/>
  </cellStyles>
  <dxfs count="12">
    <dxf>
      <fill>
        <patternFill patternType="solid">
          <fgColor rgb="FF92D050"/>
          <bgColor rgb="FF00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theme="7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theme="7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111"/>
  <sheetViews>
    <sheetView rightToLeft="1" tabSelected="1" topLeftCell="A112" zoomScaleNormal="100" workbookViewId="0">
      <selection activeCell="B118" sqref="B118:B125"/>
    </sheetView>
  </sheetViews>
  <sheetFormatPr defaultRowHeight="14.4" x14ac:dyDescent="0.3"/>
  <cols>
    <col min="1" max="1" width="4.109375" style="15" bestFit="1" customWidth="1"/>
    <col min="2" max="2" width="10.44140625" bestFit="1" customWidth="1"/>
    <col min="3" max="3" width="32.6640625" bestFit="1" customWidth="1"/>
    <col min="4" max="4" width="18.33203125" style="9" customWidth="1"/>
    <col min="5" max="5" width="12" style="5" bestFit="1" customWidth="1"/>
    <col min="6" max="6" width="7.21875" style="5" hidden="1" customWidth="1"/>
    <col min="7" max="7" width="24" style="7" customWidth="1"/>
    <col min="8" max="8" width="15.33203125" style="3" customWidth="1"/>
    <col min="9" max="9" width="19.33203125" customWidth="1"/>
    <col min="10" max="11" width="7.33203125" style="11" customWidth="1"/>
    <col min="12" max="13" width="7.33203125" style="10" customWidth="1"/>
    <col min="14" max="14" width="4.88671875" style="16" customWidth="1"/>
    <col min="15" max="15" width="9.44140625" style="17" customWidth="1"/>
    <col min="16" max="16" width="11.77734375" customWidth="1"/>
    <col min="21" max="21" width="17.21875" bestFit="1" customWidth="1"/>
  </cols>
  <sheetData>
    <row r="1" spans="1:16" x14ac:dyDescent="0.3">
      <c r="A1" s="13" t="s">
        <v>6</v>
      </c>
      <c r="B1" s="1" t="s">
        <v>8</v>
      </c>
      <c r="C1" s="1" t="s">
        <v>0</v>
      </c>
      <c r="D1" s="8" t="s">
        <v>2</v>
      </c>
      <c r="E1" s="4" t="s">
        <v>14</v>
      </c>
      <c r="F1" s="4" t="s">
        <v>16</v>
      </c>
      <c r="G1" s="6" t="s">
        <v>1</v>
      </c>
      <c r="H1" s="2" t="s">
        <v>3</v>
      </c>
      <c r="I1" t="s">
        <v>7</v>
      </c>
      <c r="J1" s="11" t="s">
        <v>12</v>
      </c>
      <c r="K1" s="11" t="s">
        <v>11</v>
      </c>
      <c r="L1" s="10" t="s">
        <v>10</v>
      </c>
      <c r="M1" s="10" t="s">
        <v>9</v>
      </c>
      <c r="O1" s="17" t="s">
        <v>13</v>
      </c>
      <c r="P1" t="s">
        <v>15</v>
      </c>
    </row>
    <row r="2" spans="1:16" x14ac:dyDescent="0.3">
      <c r="A2" s="14">
        <v>18</v>
      </c>
      <c r="B2">
        <v>5671</v>
      </c>
      <c r="C2" t="s">
        <v>145</v>
      </c>
      <c r="D2" s="9">
        <v>29703102701488</v>
      </c>
      <c r="E2" s="5">
        <v>20000</v>
      </c>
      <c r="F2" s="5">
        <v>18</v>
      </c>
      <c r="G2" s="12" t="str">
        <f>CONCATENATE(J2,"-",K2,"-",L2,"-",M2)</f>
        <v>8160-1063-0320-5078</v>
      </c>
      <c r="H2" s="3" t="s">
        <v>219</v>
      </c>
      <c r="I2" t="s">
        <v>218</v>
      </c>
      <c r="J2" s="11" t="s">
        <v>276</v>
      </c>
      <c r="K2" s="11" t="s">
        <v>272</v>
      </c>
      <c r="L2" s="10" t="s">
        <v>269</v>
      </c>
      <c r="M2" s="10" t="s">
        <v>5</v>
      </c>
      <c r="O2" s="18">
        <f>LEN(H2)</f>
        <v>11</v>
      </c>
      <c r="P2" t="s">
        <v>268</v>
      </c>
    </row>
    <row r="3" spans="1:16" x14ac:dyDescent="0.3">
      <c r="A3" s="14">
        <v>21</v>
      </c>
      <c r="B3">
        <v>5677</v>
      </c>
      <c r="C3" t="s">
        <v>148</v>
      </c>
      <c r="D3" s="9">
        <v>28404042701555</v>
      </c>
      <c r="E3" s="5">
        <v>20000</v>
      </c>
      <c r="F3" s="5">
        <v>18</v>
      </c>
      <c r="G3" s="12" t="str">
        <f>CONCATENATE(J3,"-",K3,"-",L3,"-",M3)</f>
        <v>2225-9897-0313-5078</v>
      </c>
      <c r="H3" s="3" t="s">
        <v>222</v>
      </c>
      <c r="I3" t="s">
        <v>215</v>
      </c>
      <c r="J3" s="11" t="s">
        <v>56</v>
      </c>
      <c r="K3" s="11" t="s">
        <v>55</v>
      </c>
      <c r="L3" s="10" t="s">
        <v>4</v>
      </c>
      <c r="M3" s="10" t="s">
        <v>5</v>
      </c>
      <c r="O3" s="18">
        <f>LEN(H3)</f>
        <v>11</v>
      </c>
      <c r="P3" t="s">
        <v>288</v>
      </c>
    </row>
    <row r="4" spans="1:16" x14ac:dyDescent="0.3">
      <c r="B4">
        <v>5735</v>
      </c>
      <c r="C4" t="s">
        <v>320</v>
      </c>
      <c r="D4" s="9">
        <v>28206022700696</v>
      </c>
      <c r="E4" s="5">
        <v>20000</v>
      </c>
      <c r="F4" s="5">
        <v>18</v>
      </c>
      <c r="G4" s="12" t="str">
        <f>CONCATENATE(J4,"-",K4,"-",L4,"-",M4)</f>
        <v>0354-1693-0313-5078</v>
      </c>
      <c r="H4" s="3" t="s">
        <v>342</v>
      </c>
      <c r="I4" t="s">
        <v>197</v>
      </c>
      <c r="J4" s="11" t="s">
        <v>389</v>
      </c>
      <c r="K4" s="11" t="s">
        <v>390</v>
      </c>
      <c r="L4" s="10" t="s">
        <v>4</v>
      </c>
      <c r="M4" s="10" t="s">
        <v>5</v>
      </c>
      <c r="O4" s="18">
        <f>LEN(H4)</f>
        <v>11</v>
      </c>
      <c r="P4" t="s">
        <v>399</v>
      </c>
    </row>
    <row r="5" spans="1:16" x14ac:dyDescent="0.3">
      <c r="B5">
        <v>5740</v>
      </c>
      <c r="C5" s="20" t="s">
        <v>419</v>
      </c>
      <c r="D5" s="21">
        <v>29311182700074</v>
      </c>
      <c r="E5" s="22">
        <v>20000</v>
      </c>
      <c r="F5" s="22">
        <v>6</v>
      </c>
      <c r="G5" s="12" t="str">
        <f>CONCATENATE(J5,"-",K5,"-",L5,"-",M5)</f>
        <v>9644-5943-0313-5078</v>
      </c>
      <c r="H5" s="3" t="s">
        <v>434</v>
      </c>
      <c r="I5" t="s">
        <v>210</v>
      </c>
      <c r="J5" s="11" t="s">
        <v>449</v>
      </c>
      <c r="K5" s="11" t="s">
        <v>450</v>
      </c>
      <c r="L5" s="10" t="s">
        <v>4</v>
      </c>
      <c r="M5" s="10" t="s">
        <v>5</v>
      </c>
      <c r="O5" s="18">
        <f>LEN(H5)</f>
        <v>11</v>
      </c>
      <c r="P5" t="s">
        <v>479</v>
      </c>
    </row>
    <row r="6" spans="1:16" x14ac:dyDescent="0.3">
      <c r="B6">
        <v>5741</v>
      </c>
      <c r="C6" s="20" t="s">
        <v>420</v>
      </c>
      <c r="D6" s="21">
        <v>28411212700296</v>
      </c>
      <c r="E6" s="22">
        <v>20000</v>
      </c>
      <c r="F6" s="22">
        <v>6</v>
      </c>
      <c r="G6" s="12" t="str">
        <f>CONCATENATE(J6,"-",K6,"-",L6,"-",M6)</f>
        <v>7257-4757-0313-5078</v>
      </c>
      <c r="H6" s="3" t="s">
        <v>435</v>
      </c>
      <c r="I6" t="s">
        <v>210</v>
      </c>
      <c r="J6" s="11" t="s">
        <v>451</v>
      </c>
      <c r="K6" s="11" t="s">
        <v>452</v>
      </c>
      <c r="L6" s="10" t="s">
        <v>4</v>
      </c>
      <c r="M6" s="10" t="s">
        <v>5</v>
      </c>
      <c r="O6" s="18">
        <f>LEN(H6)</f>
        <v>11</v>
      </c>
      <c r="P6" t="s">
        <v>479</v>
      </c>
    </row>
    <row r="7" spans="1:16" x14ac:dyDescent="0.3">
      <c r="B7">
        <v>5744</v>
      </c>
      <c r="C7" s="20" t="s">
        <v>423</v>
      </c>
      <c r="D7" s="21">
        <v>28605062700178</v>
      </c>
      <c r="E7" s="22">
        <v>20000</v>
      </c>
      <c r="F7" s="22">
        <v>6</v>
      </c>
      <c r="G7" s="12" t="str">
        <f>CONCATENATE(J7,"-",K7,"-",L7,"-",M7)</f>
        <v>5945-3496-0313-5078</v>
      </c>
      <c r="H7" s="3" t="s">
        <v>438</v>
      </c>
      <c r="I7" t="s">
        <v>210</v>
      </c>
      <c r="J7" s="11" t="s">
        <v>457</v>
      </c>
      <c r="K7" s="11" t="s">
        <v>458</v>
      </c>
      <c r="L7" s="10" t="s">
        <v>4</v>
      </c>
      <c r="M7" s="10" t="s">
        <v>5</v>
      </c>
      <c r="O7" s="18">
        <f>LEN(H7)</f>
        <v>11</v>
      </c>
      <c r="P7" t="s">
        <v>479</v>
      </c>
    </row>
    <row r="8" spans="1:16" x14ac:dyDescent="0.3">
      <c r="B8">
        <v>5746</v>
      </c>
      <c r="C8" s="20" t="s">
        <v>424</v>
      </c>
      <c r="D8" s="21">
        <v>28806052700728</v>
      </c>
      <c r="E8" s="22">
        <v>20000</v>
      </c>
      <c r="F8" s="22">
        <v>6</v>
      </c>
      <c r="G8" s="12" t="str">
        <f>CONCATENATE(J8,"-",K8,"-",L8,"-",M8)</f>
        <v>6790-0280-0313-5078</v>
      </c>
      <c r="H8" s="3" t="s">
        <v>439</v>
      </c>
      <c r="I8" t="s">
        <v>210</v>
      </c>
      <c r="J8" s="11" t="s">
        <v>459</v>
      </c>
      <c r="K8" s="11" t="s">
        <v>460</v>
      </c>
      <c r="L8" s="10" t="s">
        <v>4</v>
      </c>
      <c r="M8" s="10" t="s">
        <v>5</v>
      </c>
      <c r="O8" s="18">
        <f>LEN(H8)</f>
        <v>11</v>
      </c>
      <c r="P8" t="s">
        <v>479</v>
      </c>
    </row>
    <row r="9" spans="1:16" x14ac:dyDescent="0.3">
      <c r="B9">
        <v>5747</v>
      </c>
      <c r="C9" s="20" t="s">
        <v>425</v>
      </c>
      <c r="D9" s="21">
        <v>29105212700296</v>
      </c>
      <c r="E9" s="22">
        <v>20000</v>
      </c>
      <c r="F9" s="22">
        <v>6</v>
      </c>
      <c r="G9" s="12" t="str">
        <f>CONCATENATE(J9,"-",K9,"-",L9,"-",M9)</f>
        <v>5847-2638-0313-5078</v>
      </c>
      <c r="H9" s="3" t="s">
        <v>440</v>
      </c>
      <c r="I9" t="s">
        <v>210</v>
      </c>
      <c r="J9" s="11" t="s">
        <v>461</v>
      </c>
      <c r="K9" s="11" t="s">
        <v>462</v>
      </c>
      <c r="L9" s="10" t="s">
        <v>4</v>
      </c>
      <c r="M9" s="10" t="s">
        <v>5</v>
      </c>
      <c r="O9" s="18">
        <f>LEN(H9)</f>
        <v>11</v>
      </c>
      <c r="P9" t="s">
        <v>479</v>
      </c>
    </row>
    <row r="10" spans="1:16" x14ac:dyDescent="0.3">
      <c r="A10" s="14">
        <v>16</v>
      </c>
      <c r="B10">
        <v>5341</v>
      </c>
      <c r="C10" t="s">
        <v>143</v>
      </c>
      <c r="D10" s="9">
        <v>27408312700191</v>
      </c>
      <c r="E10" s="5">
        <v>15000</v>
      </c>
      <c r="F10" s="5">
        <v>18</v>
      </c>
      <c r="G10" s="12" t="str">
        <f>CONCATENATE(J10,"-",K10,"-",L10,"-",M10)</f>
        <v>4007-4187-0313-5078</v>
      </c>
      <c r="H10" s="3" t="s">
        <v>216</v>
      </c>
      <c r="I10" t="s">
        <v>204</v>
      </c>
      <c r="J10" s="11" t="s">
        <v>48</v>
      </c>
      <c r="K10" s="11" t="s">
        <v>47</v>
      </c>
      <c r="L10" s="10" t="s">
        <v>4</v>
      </c>
      <c r="M10" s="10" t="s">
        <v>5</v>
      </c>
      <c r="O10" s="18">
        <f>LEN(H10)</f>
        <v>11</v>
      </c>
      <c r="P10" t="s">
        <v>287</v>
      </c>
    </row>
    <row r="11" spans="1:16" x14ac:dyDescent="0.3">
      <c r="A11" s="14">
        <v>37</v>
      </c>
      <c r="B11">
        <v>5694</v>
      </c>
      <c r="C11" t="s">
        <v>164</v>
      </c>
      <c r="D11" s="9">
        <v>29210102700965</v>
      </c>
      <c r="E11" s="5">
        <v>20000</v>
      </c>
      <c r="F11" s="5">
        <v>18</v>
      </c>
      <c r="G11" s="12" t="str">
        <f>CONCATENATE(J11,"-",K11,"-",L11,"-",M11)</f>
        <v>9209-1098-0320-5078</v>
      </c>
      <c r="H11" s="3" t="s">
        <v>239</v>
      </c>
      <c r="I11" t="s">
        <v>233</v>
      </c>
      <c r="J11" s="11" t="s">
        <v>271</v>
      </c>
      <c r="K11" s="11" t="s">
        <v>270</v>
      </c>
      <c r="L11" s="10" t="s">
        <v>269</v>
      </c>
      <c r="M11" s="10" t="s">
        <v>5</v>
      </c>
      <c r="O11" s="18">
        <f>LEN(H11)</f>
        <v>11</v>
      </c>
      <c r="P11" t="s">
        <v>268</v>
      </c>
    </row>
    <row r="12" spans="1:16" x14ac:dyDescent="0.3">
      <c r="A12" s="14"/>
      <c r="B12">
        <v>4209</v>
      </c>
      <c r="C12" t="s">
        <v>304</v>
      </c>
      <c r="D12" s="9">
        <v>29901102703916</v>
      </c>
      <c r="E12" s="5">
        <v>29000</v>
      </c>
      <c r="F12" s="5">
        <v>18</v>
      </c>
      <c r="G12" s="12" t="str">
        <f>CONCATENATE(J12,"-",K12,"-",L12,"-",M12)</f>
        <v>8568-4692-0313-5078</v>
      </c>
      <c r="H12" s="3" t="s">
        <v>332</v>
      </c>
      <c r="I12" t="s">
        <v>210</v>
      </c>
      <c r="J12" s="11" t="s">
        <v>360</v>
      </c>
      <c r="K12" s="11" t="s">
        <v>361</v>
      </c>
      <c r="L12" s="10" t="s">
        <v>4</v>
      </c>
      <c r="M12" s="10" t="s">
        <v>5</v>
      </c>
      <c r="O12" s="18">
        <f>LEN(H12)</f>
        <v>11</v>
      </c>
      <c r="P12" t="s">
        <v>399</v>
      </c>
    </row>
    <row r="13" spans="1:16" x14ac:dyDescent="0.3">
      <c r="A13" s="14"/>
      <c r="B13">
        <v>4720</v>
      </c>
      <c r="C13" t="s">
        <v>307</v>
      </c>
      <c r="D13" s="9">
        <v>29209212701098</v>
      </c>
      <c r="E13" s="5">
        <v>20000</v>
      </c>
      <c r="F13" s="5">
        <v>18</v>
      </c>
      <c r="G13" s="12" t="str">
        <f>CONCATENATE(J13,"-",K13,"-",L13,"-",M13)</f>
        <v>4159-9984-0313-5078</v>
      </c>
      <c r="H13" s="3" t="s">
        <v>335</v>
      </c>
      <c r="I13" t="s">
        <v>204</v>
      </c>
      <c r="J13" s="11" t="s">
        <v>366</v>
      </c>
      <c r="K13" s="11" t="s">
        <v>367</v>
      </c>
      <c r="L13" s="10" t="s">
        <v>4</v>
      </c>
      <c r="M13" s="10" t="s">
        <v>5</v>
      </c>
      <c r="O13" s="18">
        <f>LEN(H13)</f>
        <v>11</v>
      </c>
      <c r="P13" t="s">
        <v>399</v>
      </c>
    </row>
    <row r="14" spans="1:16" x14ac:dyDescent="0.3">
      <c r="B14">
        <v>5733</v>
      </c>
      <c r="C14" t="s">
        <v>318</v>
      </c>
      <c r="D14" s="9">
        <v>28611162700884</v>
      </c>
      <c r="E14" s="5">
        <v>15000</v>
      </c>
      <c r="F14" s="5">
        <v>18</v>
      </c>
      <c r="G14" s="12" t="str">
        <f>CONCATENATE(J14,"-",K14,"-",L14,"-",M14)</f>
        <v>4677-4681-0313-5078</v>
      </c>
      <c r="H14" s="3" t="s">
        <v>402</v>
      </c>
      <c r="I14" t="s">
        <v>200</v>
      </c>
      <c r="J14" s="11" t="s">
        <v>351</v>
      </c>
      <c r="K14" s="11" t="s">
        <v>386</v>
      </c>
      <c r="L14" s="10" t="s">
        <v>4</v>
      </c>
      <c r="M14" s="10" t="s">
        <v>5</v>
      </c>
      <c r="O14" s="18">
        <f>LEN(H14)</f>
        <v>11</v>
      </c>
      <c r="P14" t="s">
        <v>399</v>
      </c>
    </row>
    <row r="15" spans="1:16" x14ac:dyDescent="0.3">
      <c r="A15" s="14">
        <v>12</v>
      </c>
      <c r="B15">
        <v>4700</v>
      </c>
      <c r="C15" t="s">
        <v>139</v>
      </c>
      <c r="D15" s="9">
        <v>28911022700128</v>
      </c>
      <c r="E15" s="5">
        <v>15000</v>
      </c>
      <c r="F15" s="5">
        <v>18</v>
      </c>
      <c r="G15" s="12" t="str">
        <f>CONCATENATE(J15,"-",K15,"-",L15,"-",M15)</f>
        <v>7573-2766-0313-5078</v>
      </c>
      <c r="H15" s="3" t="s">
        <v>211</v>
      </c>
      <c r="I15" t="s">
        <v>210</v>
      </c>
      <c r="J15" s="11" t="s">
        <v>41</v>
      </c>
      <c r="K15" s="11" t="s">
        <v>40</v>
      </c>
      <c r="L15" s="10" t="s">
        <v>4</v>
      </c>
      <c r="M15" s="10" t="s">
        <v>5</v>
      </c>
      <c r="O15" s="18">
        <f>LEN(H15)</f>
        <v>11</v>
      </c>
      <c r="P15" t="s">
        <v>287</v>
      </c>
    </row>
    <row r="16" spans="1:16" x14ac:dyDescent="0.3">
      <c r="A16" s="14">
        <v>63</v>
      </c>
      <c r="B16">
        <v>5722</v>
      </c>
      <c r="C16" t="s">
        <v>190</v>
      </c>
      <c r="D16" s="9">
        <v>29211012703635</v>
      </c>
      <c r="E16" s="5">
        <v>15000</v>
      </c>
      <c r="F16" s="5">
        <v>18</v>
      </c>
      <c r="G16" s="12" t="str">
        <f>CONCATENATE(J16,"-",K16,"-",L16,"-",M16)</f>
        <v>7356-9814-0313-5078</v>
      </c>
      <c r="H16" s="3" t="s">
        <v>263</v>
      </c>
      <c r="I16" t="s">
        <v>204</v>
      </c>
      <c r="J16" s="11" t="s">
        <v>118</v>
      </c>
      <c r="K16" s="11" t="s">
        <v>117</v>
      </c>
      <c r="L16" s="10" t="s">
        <v>4</v>
      </c>
      <c r="M16" s="10" t="s">
        <v>5</v>
      </c>
      <c r="O16" s="18">
        <f>LEN(H16)</f>
        <v>11</v>
      </c>
      <c r="P16" t="s">
        <v>287</v>
      </c>
    </row>
    <row r="17" spans="1:21" x14ac:dyDescent="0.3">
      <c r="A17" s="14">
        <v>7</v>
      </c>
      <c r="B17">
        <v>3436</v>
      </c>
      <c r="C17" t="s">
        <v>134</v>
      </c>
      <c r="D17" s="9">
        <v>29502062700844</v>
      </c>
      <c r="E17" s="5">
        <v>20000</v>
      </c>
      <c r="F17" s="5">
        <v>12</v>
      </c>
      <c r="G17" s="12" t="str">
        <f>CONCATENATE(J17,"-",K17,"-",L17,"-",M17)</f>
        <v>6840-0108-0313-5078</v>
      </c>
      <c r="H17" s="3" t="s">
        <v>205</v>
      </c>
      <c r="I17" t="s">
        <v>204</v>
      </c>
      <c r="J17" s="11" t="s">
        <v>31</v>
      </c>
      <c r="K17" s="11" t="s">
        <v>30</v>
      </c>
      <c r="L17" s="10" t="s">
        <v>4</v>
      </c>
      <c r="M17" s="10" t="s">
        <v>5</v>
      </c>
      <c r="O17" s="18">
        <f>LEN(H17)</f>
        <v>11</v>
      </c>
      <c r="P17" t="s">
        <v>288</v>
      </c>
    </row>
    <row r="18" spans="1:21" x14ac:dyDescent="0.3">
      <c r="A18" s="14">
        <v>32</v>
      </c>
      <c r="B18">
        <v>5689</v>
      </c>
      <c r="C18" t="s">
        <v>159</v>
      </c>
      <c r="D18" s="9">
        <v>29903252700373</v>
      </c>
      <c r="E18" s="5">
        <v>20000</v>
      </c>
      <c r="F18" s="5">
        <v>12</v>
      </c>
      <c r="G18" s="12" t="str">
        <f>CONCATENATE(J18,"-",K18,"-",L18,"-",M18)</f>
        <v>9562-9448-0313-5078</v>
      </c>
      <c r="H18" s="3" t="s">
        <v>234</v>
      </c>
      <c r="I18" t="s">
        <v>200</v>
      </c>
      <c r="J18" s="11" t="s">
        <v>72</v>
      </c>
      <c r="K18" s="11" t="s">
        <v>71</v>
      </c>
      <c r="L18" s="10" t="s">
        <v>4</v>
      </c>
      <c r="M18" s="10" t="s">
        <v>5</v>
      </c>
      <c r="O18" s="18">
        <f>LEN(H18)</f>
        <v>11</v>
      </c>
      <c r="P18" t="s">
        <v>288</v>
      </c>
    </row>
    <row r="19" spans="1:21" x14ac:dyDescent="0.3">
      <c r="A19" s="14">
        <v>33</v>
      </c>
      <c r="B19">
        <v>5690</v>
      </c>
      <c r="C19" t="s">
        <v>160</v>
      </c>
      <c r="D19" s="9">
        <v>29607252701614</v>
      </c>
      <c r="E19" s="5">
        <v>20000</v>
      </c>
      <c r="F19" s="5">
        <v>12</v>
      </c>
      <c r="G19" s="12" t="str">
        <f>CONCATENATE(J19,"-",K19,"-",L19,"-",M19)</f>
        <v>5283-0187-0313-5078</v>
      </c>
      <c r="H19" s="3" t="s">
        <v>235</v>
      </c>
      <c r="I19" t="s">
        <v>200</v>
      </c>
      <c r="J19" s="11" t="s">
        <v>74</v>
      </c>
      <c r="K19" s="11" t="s">
        <v>73</v>
      </c>
      <c r="L19" s="10" t="s">
        <v>4</v>
      </c>
      <c r="M19" s="10" t="s">
        <v>5</v>
      </c>
      <c r="O19" s="18">
        <f>LEN(H19)</f>
        <v>11</v>
      </c>
      <c r="P19" t="s">
        <v>288</v>
      </c>
      <c r="Q19" t="s">
        <v>19</v>
      </c>
      <c r="R19" t="s">
        <v>18</v>
      </c>
      <c r="S19" t="s">
        <v>4</v>
      </c>
      <c r="T19" t="s">
        <v>5</v>
      </c>
    </row>
    <row r="20" spans="1:21" x14ac:dyDescent="0.3">
      <c r="A20" s="14">
        <v>46</v>
      </c>
      <c r="B20">
        <v>5703</v>
      </c>
      <c r="C20" t="s">
        <v>173</v>
      </c>
      <c r="D20" s="9">
        <v>29701042702835</v>
      </c>
      <c r="E20" s="5">
        <v>20000</v>
      </c>
      <c r="F20" s="5">
        <v>18</v>
      </c>
      <c r="G20" s="12" t="str">
        <f>CONCATENATE(J20,"-",K20,"-",L20,"-",M20)</f>
        <v>1151-7297-0313-5078</v>
      </c>
      <c r="H20" s="3" t="s">
        <v>247</v>
      </c>
      <c r="I20" t="s">
        <v>210</v>
      </c>
      <c r="J20" s="11" t="s">
        <v>94</v>
      </c>
      <c r="K20" s="11" t="s">
        <v>93</v>
      </c>
      <c r="L20" s="10" t="s">
        <v>4</v>
      </c>
      <c r="M20" s="10" t="s">
        <v>5</v>
      </c>
      <c r="O20" s="18">
        <f>LEN(H20)</f>
        <v>11</v>
      </c>
      <c r="P20" t="s">
        <v>288</v>
      </c>
    </row>
    <row r="21" spans="1:21" x14ac:dyDescent="0.3">
      <c r="A21" s="14">
        <v>61</v>
      </c>
      <c r="B21">
        <v>5720</v>
      </c>
      <c r="C21" t="s">
        <v>188</v>
      </c>
      <c r="D21" s="9">
        <v>28712122702141</v>
      </c>
      <c r="E21" s="5">
        <v>20000</v>
      </c>
      <c r="F21" s="5">
        <v>18</v>
      </c>
      <c r="G21" s="12" t="str">
        <f>CONCATENATE(J21,"-",K21,"-",L21,"-",M21)</f>
        <v>3811-3682-0313-5078</v>
      </c>
      <c r="H21" s="3" t="s">
        <v>261</v>
      </c>
      <c r="I21" t="s">
        <v>202</v>
      </c>
      <c r="J21" s="11" t="s">
        <v>114</v>
      </c>
      <c r="K21" s="11" t="s">
        <v>113</v>
      </c>
      <c r="L21" s="10" t="s">
        <v>4</v>
      </c>
      <c r="M21" s="10" t="s">
        <v>5</v>
      </c>
      <c r="O21" s="18">
        <f>LEN(H21)</f>
        <v>11</v>
      </c>
      <c r="P21" t="s">
        <v>288</v>
      </c>
      <c r="Q21" t="s">
        <v>284</v>
      </c>
    </row>
    <row r="22" spans="1:21" x14ac:dyDescent="0.3">
      <c r="A22" s="14"/>
      <c r="B22">
        <v>472</v>
      </c>
      <c r="C22" t="s">
        <v>297</v>
      </c>
      <c r="D22" s="9">
        <v>28002110103458</v>
      </c>
      <c r="E22" s="5">
        <v>50000</v>
      </c>
      <c r="F22" s="5">
        <v>18</v>
      </c>
      <c r="G22" s="12" t="str">
        <f>CONCATENATE(J22,"-",K22,"-",L22,"-",M22)</f>
        <v>0621-2045-0313-5078</v>
      </c>
      <c r="H22" s="3" t="s">
        <v>325</v>
      </c>
      <c r="I22" t="s">
        <v>210</v>
      </c>
      <c r="J22" s="11" t="s">
        <v>346</v>
      </c>
      <c r="K22" s="11" t="s">
        <v>347</v>
      </c>
      <c r="L22" s="10" t="s">
        <v>4</v>
      </c>
      <c r="M22" s="10" t="s">
        <v>5</v>
      </c>
      <c r="O22" s="18">
        <f>LEN(H22)</f>
        <v>11</v>
      </c>
      <c r="P22" t="s">
        <v>399</v>
      </c>
    </row>
    <row r="23" spans="1:21" x14ac:dyDescent="0.3">
      <c r="A23" s="14"/>
      <c r="B23">
        <v>2845</v>
      </c>
      <c r="C23" t="s">
        <v>298</v>
      </c>
      <c r="D23" s="9">
        <v>27003192700711</v>
      </c>
      <c r="E23" s="5">
        <v>50000</v>
      </c>
      <c r="F23" s="5">
        <v>18</v>
      </c>
      <c r="G23" s="12" t="str">
        <f>CONCATENATE(J23,"-",K23,"-",L23,"-",M23)</f>
        <v>8235-7805-0313-5078</v>
      </c>
      <c r="H23" s="3" t="s">
        <v>326</v>
      </c>
      <c r="I23" t="s">
        <v>233</v>
      </c>
      <c r="J23" s="11" t="s">
        <v>413</v>
      </c>
      <c r="K23" s="11" t="s">
        <v>414</v>
      </c>
      <c r="L23" s="10" t="s">
        <v>4</v>
      </c>
      <c r="M23" s="10" t="s">
        <v>5</v>
      </c>
      <c r="O23" s="18">
        <f>LEN(H23)</f>
        <v>11</v>
      </c>
      <c r="P23" t="s">
        <v>399</v>
      </c>
    </row>
    <row r="24" spans="1:21" x14ac:dyDescent="0.3">
      <c r="A24" s="14"/>
      <c r="B24">
        <v>3788</v>
      </c>
      <c r="C24" t="s">
        <v>302</v>
      </c>
      <c r="D24" s="9">
        <v>29406302700473</v>
      </c>
      <c r="E24" s="5">
        <v>50000</v>
      </c>
      <c r="F24" s="5">
        <v>18</v>
      </c>
      <c r="G24" s="12" t="str">
        <f>CONCATENATE(J24,"-",K24,"-",L24,"-",M24)</f>
        <v>6090-4842-0313-5078</v>
      </c>
      <c r="H24" s="3" t="s">
        <v>330</v>
      </c>
      <c r="I24" t="s">
        <v>200</v>
      </c>
      <c r="J24" s="11" t="s">
        <v>356</v>
      </c>
      <c r="K24" s="11" t="s">
        <v>357</v>
      </c>
      <c r="L24" s="10" t="s">
        <v>4</v>
      </c>
      <c r="M24" s="10" t="s">
        <v>5</v>
      </c>
      <c r="O24" s="18">
        <f>LEN(H24)</f>
        <v>11</v>
      </c>
      <c r="P24" t="s">
        <v>399</v>
      </c>
    </row>
    <row r="25" spans="1:21" x14ac:dyDescent="0.3">
      <c r="A25" s="14"/>
      <c r="B25">
        <v>4326</v>
      </c>
      <c r="C25" t="s">
        <v>305</v>
      </c>
      <c r="D25" s="9">
        <v>29210012717079</v>
      </c>
      <c r="E25" s="5">
        <v>20000</v>
      </c>
      <c r="F25" s="5">
        <v>18</v>
      </c>
      <c r="G25" s="12" t="str">
        <f>CONCATENATE(J25,"-",K25,"-",L25,"-",M25)</f>
        <v>4372-8532-0313-5078</v>
      </c>
      <c r="H25" s="3" t="s">
        <v>333</v>
      </c>
      <c r="I25" t="s">
        <v>233</v>
      </c>
      <c r="J25" s="11" t="s">
        <v>415</v>
      </c>
      <c r="K25" s="11" t="s">
        <v>416</v>
      </c>
      <c r="L25" s="10" t="s">
        <v>4</v>
      </c>
      <c r="M25" s="10" t="s">
        <v>5</v>
      </c>
      <c r="O25" s="18">
        <f>LEN(H25)</f>
        <v>11</v>
      </c>
      <c r="P25" t="s">
        <v>399</v>
      </c>
    </row>
    <row r="26" spans="1:21" x14ac:dyDescent="0.3">
      <c r="A26" s="14"/>
      <c r="B26">
        <v>4728</v>
      </c>
      <c r="C26" t="s">
        <v>308</v>
      </c>
      <c r="D26" s="9">
        <v>28609302700401</v>
      </c>
      <c r="E26" s="5">
        <v>29000</v>
      </c>
      <c r="F26" s="5">
        <v>18</v>
      </c>
      <c r="G26" s="12" t="str">
        <f>CONCATENATE(J26,"-",K26,"-",L26,"-",M26)</f>
        <v>5027-4396-0313-5078</v>
      </c>
      <c r="H26" s="3" t="s">
        <v>336</v>
      </c>
      <c r="I26" t="s">
        <v>210</v>
      </c>
      <c r="J26" s="11" t="s">
        <v>418</v>
      </c>
      <c r="K26" s="11" t="s">
        <v>417</v>
      </c>
      <c r="L26" s="10" t="s">
        <v>4</v>
      </c>
      <c r="M26" s="10">
        <v>5078</v>
      </c>
      <c r="O26" s="18">
        <f>LEN(H26)</f>
        <v>11</v>
      </c>
      <c r="P26" t="s">
        <v>399</v>
      </c>
      <c r="Q26" t="s">
        <v>358</v>
      </c>
      <c r="R26" t="s">
        <v>359</v>
      </c>
      <c r="S26" t="s">
        <v>4</v>
      </c>
      <c r="T26" t="s">
        <v>5</v>
      </c>
    </row>
    <row r="27" spans="1:21" x14ac:dyDescent="0.3">
      <c r="A27" s="14"/>
      <c r="B27">
        <v>4753</v>
      </c>
      <c r="C27" t="s">
        <v>309</v>
      </c>
      <c r="D27" s="9">
        <v>29609252701129</v>
      </c>
      <c r="E27" s="5">
        <v>20000</v>
      </c>
      <c r="F27" s="5">
        <v>18</v>
      </c>
      <c r="G27" s="12" t="str">
        <f>CONCATENATE(J27,"-",K27,"-",L27,"-",M27)</f>
        <v>3247-2977-0313-5078</v>
      </c>
      <c r="H27" s="3" t="s">
        <v>337</v>
      </c>
      <c r="I27" t="s">
        <v>204</v>
      </c>
      <c r="J27" s="11" t="s">
        <v>368</v>
      </c>
      <c r="K27" s="11" t="s">
        <v>369</v>
      </c>
      <c r="L27" s="10" t="s">
        <v>4</v>
      </c>
      <c r="M27" s="10" t="s">
        <v>5</v>
      </c>
      <c r="O27" s="18">
        <f>LEN(H27)</f>
        <v>11</v>
      </c>
      <c r="P27" t="s">
        <v>399</v>
      </c>
    </row>
    <row r="28" spans="1:21" x14ac:dyDescent="0.3">
      <c r="A28" s="14"/>
      <c r="B28">
        <v>5727</v>
      </c>
      <c r="C28" t="s">
        <v>312</v>
      </c>
      <c r="D28" s="9">
        <v>27312152702063</v>
      </c>
      <c r="E28" s="5">
        <v>20000</v>
      </c>
      <c r="F28" s="5">
        <v>18</v>
      </c>
      <c r="G28" s="12" t="str">
        <f>CONCATENATE(J28,"-",K28,"-",L28,"-",M28)</f>
        <v>4641-2431-0313-5078</v>
      </c>
      <c r="H28" s="3" t="s">
        <v>400</v>
      </c>
      <c r="I28" t="s">
        <v>215</v>
      </c>
      <c r="J28" s="11" t="s">
        <v>374</v>
      </c>
      <c r="K28" s="11" t="s">
        <v>375</v>
      </c>
      <c r="L28" s="10" t="s">
        <v>4</v>
      </c>
      <c r="M28" s="10" t="s">
        <v>5</v>
      </c>
      <c r="O28" s="18">
        <f>LEN(H28)</f>
        <v>11</v>
      </c>
      <c r="P28" t="s">
        <v>399</v>
      </c>
      <c r="Q28" t="s">
        <v>46</v>
      </c>
      <c r="R28" t="s">
        <v>45</v>
      </c>
      <c r="S28" t="s">
        <v>4</v>
      </c>
      <c r="T28" t="s">
        <v>5</v>
      </c>
    </row>
    <row r="29" spans="1:21" x14ac:dyDescent="0.3">
      <c r="A29" s="14"/>
      <c r="B29">
        <v>5729</v>
      </c>
      <c r="C29" t="s">
        <v>314</v>
      </c>
      <c r="D29" s="9">
        <v>29206012702201</v>
      </c>
      <c r="E29" s="5">
        <v>20000</v>
      </c>
      <c r="F29" s="5">
        <v>18</v>
      </c>
      <c r="G29" s="12" t="str">
        <f>CONCATENATE(J29,"-",K29,"-",L29,"-",M29)</f>
        <v>1604-6151-0313-5078</v>
      </c>
      <c r="H29" s="3" t="s">
        <v>340</v>
      </c>
      <c r="I29" t="s">
        <v>202</v>
      </c>
      <c r="J29" s="11" t="s">
        <v>378</v>
      </c>
      <c r="K29" s="11" t="s">
        <v>379</v>
      </c>
      <c r="L29" s="10" t="s">
        <v>4</v>
      </c>
      <c r="M29" s="10" t="s">
        <v>5</v>
      </c>
      <c r="O29" s="18">
        <f>LEN(H29)</f>
        <v>11</v>
      </c>
      <c r="P29" t="s">
        <v>399</v>
      </c>
    </row>
    <row r="30" spans="1:21" x14ac:dyDescent="0.3">
      <c r="A30" s="14"/>
      <c r="B30">
        <v>5732</v>
      </c>
      <c r="C30" t="s">
        <v>317</v>
      </c>
      <c r="D30" s="9">
        <v>28101102701638</v>
      </c>
      <c r="E30" s="5">
        <v>15000</v>
      </c>
      <c r="F30" s="5">
        <v>18</v>
      </c>
      <c r="G30" s="12" t="str">
        <f>CONCATENATE(J30,"-",K30,"-",L30,"-",M30)</f>
        <v>4655-2343-0313-5078</v>
      </c>
      <c r="H30" s="3" t="s">
        <v>341</v>
      </c>
      <c r="I30" t="s">
        <v>204</v>
      </c>
      <c r="J30" s="11" t="s">
        <v>384</v>
      </c>
      <c r="K30" s="11" t="s">
        <v>385</v>
      </c>
      <c r="L30" s="10" t="s">
        <v>4</v>
      </c>
      <c r="M30" s="10" t="s">
        <v>5</v>
      </c>
      <c r="O30" s="18">
        <f>LEN(H30)</f>
        <v>11</v>
      </c>
      <c r="P30" t="s">
        <v>399</v>
      </c>
    </row>
    <row r="31" spans="1:21" x14ac:dyDescent="0.3">
      <c r="B31">
        <v>5736</v>
      </c>
      <c r="C31" t="s">
        <v>321</v>
      </c>
      <c r="D31" s="9">
        <v>28501262701381</v>
      </c>
      <c r="E31" s="5">
        <v>20000</v>
      </c>
      <c r="F31" s="5">
        <v>18</v>
      </c>
      <c r="G31" s="12" t="str">
        <f>CONCATENATE(J31,"-",K31,"-",L31,"-",M31)</f>
        <v>6871-7469-0313-5078</v>
      </c>
      <c r="H31" s="3" t="s">
        <v>343</v>
      </c>
      <c r="I31" t="s">
        <v>233</v>
      </c>
      <c r="J31" s="11" t="s">
        <v>391</v>
      </c>
      <c r="K31" s="11" t="s">
        <v>392</v>
      </c>
      <c r="L31" s="10" t="s">
        <v>4</v>
      </c>
      <c r="M31" s="10" t="s">
        <v>5</v>
      </c>
      <c r="O31" s="18">
        <f>LEN(H31)</f>
        <v>11</v>
      </c>
      <c r="P31" t="s">
        <v>399</v>
      </c>
      <c r="U31" t="str">
        <f>CONCATENATE(M31,L31,K31,J31)</f>
        <v>5078031374696871</v>
      </c>
    </row>
    <row r="32" spans="1:21" x14ac:dyDescent="0.3">
      <c r="B32">
        <v>5737</v>
      </c>
      <c r="C32" t="s">
        <v>322</v>
      </c>
      <c r="D32" s="9">
        <v>28707052702161</v>
      </c>
      <c r="E32" s="5">
        <v>15000</v>
      </c>
      <c r="F32" s="5">
        <v>18</v>
      </c>
      <c r="G32" s="12" t="str">
        <f>CONCATENATE(J32,"-",K32,"-",L32,"-",M32)</f>
        <v>6134-5250-0313-5078</v>
      </c>
      <c r="H32" s="3" t="s">
        <v>404</v>
      </c>
      <c r="I32" t="s">
        <v>204</v>
      </c>
      <c r="J32" s="11" t="s">
        <v>393</v>
      </c>
      <c r="K32" s="11" t="s">
        <v>394</v>
      </c>
      <c r="L32" s="10" t="s">
        <v>4</v>
      </c>
      <c r="M32" s="10" t="s">
        <v>5</v>
      </c>
      <c r="O32" s="18">
        <f>LEN(H32)</f>
        <v>11</v>
      </c>
      <c r="P32" t="s">
        <v>399</v>
      </c>
      <c r="U32" t="str">
        <f t="shared" ref="U32:U39" si="0">CONCATENATE(M32,L32,K32,J32)</f>
        <v>5078031352506134</v>
      </c>
    </row>
    <row r="33" spans="1:21" x14ac:dyDescent="0.3">
      <c r="B33">
        <v>5738</v>
      </c>
      <c r="C33" t="s">
        <v>323</v>
      </c>
      <c r="D33" s="9">
        <v>28109272701463</v>
      </c>
      <c r="E33" s="5">
        <v>15000</v>
      </c>
      <c r="F33" s="5">
        <v>18</v>
      </c>
      <c r="G33" s="12" t="str">
        <f>CONCATENATE(J33,"-",K33,"-",L33,"-",M33)</f>
        <v>6232-3660-0313-5078</v>
      </c>
      <c r="H33" s="3" t="s">
        <v>344</v>
      </c>
      <c r="I33" t="s">
        <v>204</v>
      </c>
      <c r="J33" s="11" t="s">
        <v>395</v>
      </c>
      <c r="K33" s="11" t="s">
        <v>396</v>
      </c>
      <c r="L33" s="10" t="s">
        <v>4</v>
      </c>
      <c r="M33" s="10" t="s">
        <v>5</v>
      </c>
      <c r="O33" s="18">
        <f>LEN(H33)</f>
        <v>11</v>
      </c>
      <c r="P33" t="s">
        <v>399</v>
      </c>
      <c r="U33" t="str">
        <f t="shared" si="0"/>
        <v>5078031336606232</v>
      </c>
    </row>
    <row r="34" spans="1:21" x14ac:dyDescent="0.3">
      <c r="B34">
        <v>5739</v>
      </c>
      <c r="C34" t="s">
        <v>324</v>
      </c>
      <c r="D34" s="9">
        <v>27509222700444</v>
      </c>
      <c r="E34" s="5">
        <v>10000</v>
      </c>
      <c r="F34" s="5">
        <v>18</v>
      </c>
      <c r="G34" s="12" t="str">
        <f>CONCATENATE(J34,"-",K34,"-",L34,"-",M34)</f>
        <v>8220-0112-0313-5078</v>
      </c>
      <c r="H34" s="3" t="s">
        <v>345</v>
      </c>
      <c r="I34" t="s">
        <v>202</v>
      </c>
      <c r="J34" s="11" t="s">
        <v>397</v>
      </c>
      <c r="K34" s="11" t="s">
        <v>398</v>
      </c>
      <c r="L34" s="10" t="s">
        <v>4</v>
      </c>
      <c r="M34" s="10" t="s">
        <v>5</v>
      </c>
      <c r="O34" s="18">
        <f>LEN(H34)</f>
        <v>11</v>
      </c>
      <c r="P34" t="s">
        <v>399</v>
      </c>
      <c r="U34" t="str">
        <f t="shared" si="0"/>
        <v>5078031301128220</v>
      </c>
    </row>
    <row r="35" spans="1:21" x14ac:dyDescent="0.3">
      <c r="A35" s="14">
        <v>9</v>
      </c>
      <c r="B35">
        <v>3796</v>
      </c>
      <c r="C35" t="s">
        <v>136</v>
      </c>
      <c r="D35" s="9">
        <v>27408232600846</v>
      </c>
      <c r="E35" s="5">
        <v>15000</v>
      </c>
      <c r="F35" s="5">
        <v>18</v>
      </c>
      <c r="G35" s="12" t="str">
        <f>CONCATENATE(J35,"-",K35,"-",L35,"-",M35)</f>
        <v>1526-8947-0313-5078</v>
      </c>
      <c r="H35" s="3" t="s">
        <v>207</v>
      </c>
      <c r="I35" t="s">
        <v>204</v>
      </c>
      <c r="J35" s="11" t="s">
        <v>35</v>
      </c>
      <c r="K35" s="11" t="s">
        <v>34</v>
      </c>
      <c r="L35" s="10" t="s">
        <v>4</v>
      </c>
      <c r="M35" s="10" t="s">
        <v>5</v>
      </c>
      <c r="O35" s="18">
        <f>LEN(H35)</f>
        <v>11</v>
      </c>
      <c r="P35" t="s">
        <v>287</v>
      </c>
      <c r="U35" t="str">
        <f t="shared" si="0"/>
        <v>5078031389471526</v>
      </c>
    </row>
    <row r="36" spans="1:21" x14ac:dyDescent="0.3">
      <c r="A36" s="14">
        <v>30</v>
      </c>
      <c r="B36">
        <v>5687</v>
      </c>
      <c r="C36" t="s">
        <v>157</v>
      </c>
      <c r="D36" s="9">
        <v>30005232702067</v>
      </c>
      <c r="E36" s="5">
        <v>15000</v>
      </c>
      <c r="F36" s="5">
        <v>18</v>
      </c>
      <c r="G36" s="12" t="str">
        <f>CONCATENATE(J36,"-",K36,"-",L36,"-",M36)</f>
        <v>9623-2507-0313-5078</v>
      </c>
      <c r="H36" s="3" t="s">
        <v>231</v>
      </c>
      <c r="I36" t="s">
        <v>202</v>
      </c>
      <c r="J36" s="11" t="s">
        <v>68</v>
      </c>
      <c r="K36" s="11" t="s">
        <v>67</v>
      </c>
      <c r="L36" s="10" t="s">
        <v>4</v>
      </c>
      <c r="M36" s="10" t="s">
        <v>5</v>
      </c>
      <c r="O36" s="18">
        <f>LEN(H36)</f>
        <v>11</v>
      </c>
      <c r="P36" t="s">
        <v>287</v>
      </c>
      <c r="U36" t="str">
        <f t="shared" si="0"/>
        <v>5078031325079623</v>
      </c>
    </row>
    <row r="37" spans="1:21" x14ac:dyDescent="0.3">
      <c r="A37" s="14">
        <v>31</v>
      </c>
      <c r="B37">
        <v>5688</v>
      </c>
      <c r="C37" t="s">
        <v>158</v>
      </c>
      <c r="D37" s="9">
        <v>30210012716094</v>
      </c>
      <c r="E37" s="5">
        <v>15000</v>
      </c>
      <c r="F37" s="5">
        <v>18</v>
      </c>
      <c r="G37" s="12" t="str">
        <f>CONCATENATE(J37,"-",K37,"-",L37,"-",M37)</f>
        <v>2869-2851-0313-5078</v>
      </c>
      <c r="H37" s="3" t="s">
        <v>232</v>
      </c>
      <c r="I37" t="s">
        <v>233</v>
      </c>
      <c r="J37" s="11" t="s">
        <v>70</v>
      </c>
      <c r="K37" s="11" t="s">
        <v>69</v>
      </c>
      <c r="L37" s="10" t="s">
        <v>4</v>
      </c>
      <c r="M37" s="10" t="s">
        <v>5</v>
      </c>
      <c r="O37" s="18">
        <f>LEN(H37)</f>
        <v>11</v>
      </c>
      <c r="P37" t="s">
        <v>287</v>
      </c>
      <c r="U37" t="str">
        <f t="shared" si="0"/>
        <v>5078031328512869</v>
      </c>
    </row>
    <row r="38" spans="1:21" x14ac:dyDescent="0.3">
      <c r="A38" s="14">
        <v>41</v>
      </c>
      <c r="B38">
        <v>5698</v>
      </c>
      <c r="C38" t="s">
        <v>168</v>
      </c>
      <c r="D38" s="9">
        <v>27108102700764</v>
      </c>
      <c r="E38" s="5">
        <v>10000</v>
      </c>
      <c r="F38" s="5">
        <v>12</v>
      </c>
      <c r="G38" s="12" t="str">
        <f>CONCATENATE(J38,"-",K38,"-",L38,"-",M38)</f>
        <v>8973-4865-0313-5078</v>
      </c>
      <c r="H38" s="3" t="s">
        <v>243</v>
      </c>
      <c r="I38" t="s">
        <v>202</v>
      </c>
      <c r="J38" s="11" t="s">
        <v>84</v>
      </c>
      <c r="K38" s="11" t="s">
        <v>83</v>
      </c>
      <c r="L38" s="10" t="s">
        <v>4</v>
      </c>
      <c r="M38" s="10" t="s">
        <v>5</v>
      </c>
      <c r="O38" s="18">
        <f>LEN(H38)</f>
        <v>11</v>
      </c>
      <c r="P38" t="s">
        <v>287</v>
      </c>
      <c r="U38" t="str">
        <f t="shared" si="0"/>
        <v>5078031348658973</v>
      </c>
    </row>
    <row r="39" spans="1:21" x14ac:dyDescent="0.3">
      <c r="A39" s="14">
        <v>50</v>
      </c>
      <c r="B39">
        <v>5707</v>
      </c>
      <c r="C39" t="s">
        <v>177</v>
      </c>
      <c r="D39" s="9">
        <v>26409192700993</v>
      </c>
      <c r="E39" s="5">
        <v>10000</v>
      </c>
      <c r="F39" s="5">
        <v>18</v>
      </c>
      <c r="G39" s="12" t="str">
        <f>CONCATENATE(J39,"-",K39,"-",L39,"-",M39)</f>
        <v>6182-8537-0313-5078</v>
      </c>
      <c r="H39" s="3" t="s">
        <v>251</v>
      </c>
      <c r="I39" t="s">
        <v>215</v>
      </c>
      <c r="J39" s="11" t="s">
        <v>102</v>
      </c>
      <c r="K39" s="11" t="s">
        <v>101</v>
      </c>
      <c r="L39" s="10" t="s">
        <v>4</v>
      </c>
      <c r="M39" s="10" t="s">
        <v>5</v>
      </c>
      <c r="O39" s="18">
        <f>LEN(H39)</f>
        <v>11</v>
      </c>
      <c r="P39" t="s">
        <v>287</v>
      </c>
      <c r="U39" t="str">
        <f t="shared" si="0"/>
        <v>5078031385376182</v>
      </c>
    </row>
    <row r="40" spans="1:21" x14ac:dyDescent="0.3">
      <c r="A40" s="14">
        <v>58</v>
      </c>
      <c r="B40">
        <v>5716</v>
      </c>
      <c r="C40" t="s">
        <v>185</v>
      </c>
      <c r="D40" s="9">
        <v>29506012709706</v>
      </c>
      <c r="E40" s="5">
        <v>5000</v>
      </c>
      <c r="F40" s="5">
        <v>18</v>
      </c>
      <c r="G40" s="12" t="str">
        <f>CONCATENATE(J40,"-",K40,"-",L40,"-",M40)</f>
        <v>7200-2247-0313-5078</v>
      </c>
      <c r="H40" s="3" t="s">
        <v>258</v>
      </c>
      <c r="I40" t="s">
        <v>202</v>
      </c>
      <c r="J40" s="11" t="s">
        <v>108</v>
      </c>
      <c r="K40" s="11" t="s">
        <v>107</v>
      </c>
      <c r="L40" s="10" t="s">
        <v>4</v>
      </c>
      <c r="M40" s="10" t="s">
        <v>5</v>
      </c>
      <c r="O40" s="18">
        <f>LEN(H40)</f>
        <v>11</v>
      </c>
      <c r="P40" t="s">
        <v>287</v>
      </c>
    </row>
    <row r="41" spans="1:21" x14ac:dyDescent="0.3">
      <c r="A41" s="14">
        <v>65</v>
      </c>
      <c r="B41">
        <v>5724</v>
      </c>
      <c r="C41" t="s">
        <v>192</v>
      </c>
      <c r="D41" s="9">
        <v>26811182700777</v>
      </c>
      <c r="E41" s="5">
        <v>6000</v>
      </c>
      <c r="F41" s="5">
        <v>18</v>
      </c>
      <c r="G41" s="12" t="str">
        <f>CONCATENATE(J41,"-",K41,"-",L41,"-",M41)</f>
        <v>6397-4990-0313-5078</v>
      </c>
      <c r="H41" s="3" t="s">
        <v>265</v>
      </c>
      <c r="I41" t="s">
        <v>204</v>
      </c>
      <c r="J41" s="11" t="s">
        <v>122</v>
      </c>
      <c r="K41" s="11" t="s">
        <v>121</v>
      </c>
      <c r="L41" s="10" t="s">
        <v>4</v>
      </c>
      <c r="M41" s="10" t="s">
        <v>5</v>
      </c>
      <c r="O41" s="18">
        <f>LEN(H41)</f>
        <v>11</v>
      </c>
      <c r="P41" t="s">
        <v>287</v>
      </c>
      <c r="Q41" t="s">
        <v>23</v>
      </c>
      <c r="R41" t="s">
        <v>22</v>
      </c>
      <c r="S41" t="s">
        <v>4</v>
      </c>
      <c r="T41" t="s">
        <v>5</v>
      </c>
    </row>
    <row r="42" spans="1:21" x14ac:dyDescent="0.3">
      <c r="A42" s="14">
        <v>36</v>
      </c>
      <c r="B42">
        <v>5693</v>
      </c>
      <c r="C42" t="s">
        <v>163</v>
      </c>
      <c r="D42" s="9">
        <v>29607092701205</v>
      </c>
      <c r="E42" s="5">
        <v>20000</v>
      </c>
      <c r="F42" s="5">
        <v>18</v>
      </c>
      <c r="G42" s="12" t="str">
        <f>CONCATENATE(J42,"-",K42,"-",L42,"-",M42)</f>
        <v>8194-1063-0320-5078</v>
      </c>
      <c r="H42" s="3" t="s">
        <v>238</v>
      </c>
      <c r="I42" t="s">
        <v>204</v>
      </c>
      <c r="J42" s="11" t="s">
        <v>280</v>
      </c>
      <c r="K42" s="11" t="s">
        <v>272</v>
      </c>
      <c r="L42" s="10" t="s">
        <v>269</v>
      </c>
      <c r="M42" s="10" t="s">
        <v>5</v>
      </c>
      <c r="O42" s="18">
        <f>LEN(H42)</f>
        <v>11</v>
      </c>
      <c r="P42" t="s">
        <v>268</v>
      </c>
    </row>
    <row r="43" spans="1:21" x14ac:dyDescent="0.3">
      <c r="A43" s="14">
        <v>2</v>
      </c>
      <c r="B43">
        <v>1178</v>
      </c>
      <c r="C43" t="s">
        <v>129</v>
      </c>
      <c r="D43" s="9">
        <v>27012202702112</v>
      </c>
      <c r="E43" s="5">
        <v>20000</v>
      </c>
      <c r="F43" s="5">
        <v>18</v>
      </c>
      <c r="G43" s="12" t="str">
        <f>CONCATENATE(J43,"-",K43,"-",L43,"-",M43)</f>
        <v>2609-4753-0313-5078</v>
      </c>
      <c r="H43" s="3" t="s">
        <v>196</v>
      </c>
      <c r="I43" t="s">
        <v>197</v>
      </c>
      <c r="J43" s="11" t="s">
        <v>21</v>
      </c>
      <c r="K43" s="11" t="s">
        <v>20</v>
      </c>
      <c r="L43" s="10" t="s">
        <v>4</v>
      </c>
      <c r="M43" s="10" t="s">
        <v>5</v>
      </c>
      <c r="O43" s="18">
        <f>LEN(H43)</f>
        <v>11</v>
      </c>
      <c r="P43" t="s">
        <v>288</v>
      </c>
      <c r="Q43" s="11" t="s">
        <v>29</v>
      </c>
      <c r="R43" s="11" t="s">
        <v>28</v>
      </c>
      <c r="S43" s="10" t="s">
        <v>4</v>
      </c>
      <c r="T43" s="10" t="s">
        <v>5</v>
      </c>
    </row>
    <row r="44" spans="1:21" x14ac:dyDescent="0.3">
      <c r="A44" s="14">
        <v>3</v>
      </c>
      <c r="B44">
        <v>1943</v>
      </c>
      <c r="C44" t="s">
        <v>130</v>
      </c>
      <c r="D44" s="9">
        <v>26106182700216</v>
      </c>
      <c r="E44" s="5">
        <v>20000</v>
      </c>
      <c r="F44" s="5">
        <v>18</v>
      </c>
      <c r="G44" s="12" t="str">
        <f>CONCATENATE(J44,"-",K44,"-",L44,"-",M44)</f>
        <v>0751-0132-0313-5078</v>
      </c>
      <c r="H44" s="3" t="s">
        <v>198</v>
      </c>
      <c r="I44" t="s">
        <v>197</v>
      </c>
      <c r="J44" s="11" t="s">
        <v>294</v>
      </c>
      <c r="K44" s="11" t="s">
        <v>293</v>
      </c>
      <c r="L44" s="10" t="s">
        <v>4</v>
      </c>
      <c r="M44" s="10" t="s">
        <v>5</v>
      </c>
      <c r="O44" s="18">
        <f>LEN(H44)</f>
        <v>11</v>
      </c>
      <c r="P44" t="s">
        <v>288</v>
      </c>
    </row>
    <row r="45" spans="1:21" x14ac:dyDescent="0.3">
      <c r="A45" s="14">
        <v>4</v>
      </c>
      <c r="B45">
        <v>2731</v>
      </c>
      <c r="C45" t="s">
        <v>131</v>
      </c>
      <c r="D45" s="9">
        <v>28810272700165</v>
      </c>
      <c r="E45" s="5">
        <v>20000</v>
      </c>
      <c r="F45" s="5">
        <v>18</v>
      </c>
      <c r="G45" s="12" t="str">
        <f>CONCATENATE(J45,"-",K45,"-",L45,"-",M45)</f>
        <v>8125-3195-0313-5078</v>
      </c>
      <c r="H45" s="3" t="s">
        <v>199</v>
      </c>
      <c r="I45" t="s">
        <v>200</v>
      </c>
      <c r="J45" s="11" t="s">
        <v>25</v>
      </c>
      <c r="K45" s="11" t="s">
        <v>24</v>
      </c>
      <c r="L45" s="10" t="s">
        <v>4</v>
      </c>
      <c r="M45" s="10" t="s">
        <v>5</v>
      </c>
      <c r="O45" s="18">
        <f>LEN(H45)</f>
        <v>11</v>
      </c>
      <c r="P45" t="s">
        <v>288</v>
      </c>
      <c r="Q45" t="s">
        <v>33</v>
      </c>
      <c r="R45" t="s">
        <v>32</v>
      </c>
      <c r="S45" t="s">
        <v>4</v>
      </c>
      <c r="T45" t="s">
        <v>5</v>
      </c>
    </row>
    <row r="46" spans="1:21" x14ac:dyDescent="0.3">
      <c r="A46" s="14">
        <v>6</v>
      </c>
      <c r="B46">
        <v>2795</v>
      </c>
      <c r="C46" t="s">
        <v>133</v>
      </c>
      <c r="D46" s="9">
        <v>26806192700976</v>
      </c>
      <c r="E46" s="5">
        <v>20000</v>
      </c>
      <c r="F46" s="5">
        <v>18</v>
      </c>
      <c r="G46" s="12" t="str">
        <f>CONCATENATE(J46,"-",K46,"-",L46,"-",M46)</f>
        <v>8433-0586-0313-5078</v>
      </c>
      <c r="H46" s="3" t="s">
        <v>203</v>
      </c>
      <c r="I46" t="s">
        <v>204</v>
      </c>
      <c r="J46" s="11" t="s">
        <v>292</v>
      </c>
      <c r="K46" s="11" t="s">
        <v>291</v>
      </c>
      <c r="L46" s="10" t="s">
        <v>4</v>
      </c>
      <c r="M46" s="10" t="s">
        <v>5</v>
      </c>
      <c r="O46" s="18">
        <f>LEN(H46)</f>
        <v>11</v>
      </c>
      <c r="P46" t="s">
        <v>288</v>
      </c>
    </row>
    <row r="47" spans="1:21" x14ac:dyDescent="0.3">
      <c r="A47" s="14">
        <v>8</v>
      </c>
      <c r="B47">
        <v>3640</v>
      </c>
      <c r="C47" t="s">
        <v>135</v>
      </c>
      <c r="D47" s="9">
        <v>28012132701273</v>
      </c>
      <c r="E47" s="5">
        <v>20000</v>
      </c>
      <c r="F47" s="5">
        <v>18</v>
      </c>
      <c r="G47" s="12" t="str">
        <f>CONCATENATE(J47,"-",K47,"-",L47,"-",M47)</f>
        <v>3057-9708-0313-5078</v>
      </c>
      <c r="H47" s="3" t="s">
        <v>206</v>
      </c>
      <c r="I47" t="s">
        <v>204</v>
      </c>
      <c r="J47" s="11" t="s">
        <v>296</v>
      </c>
      <c r="K47" s="11" t="s">
        <v>295</v>
      </c>
      <c r="L47" s="10" t="s">
        <v>4</v>
      </c>
      <c r="M47" s="10" t="s">
        <v>5</v>
      </c>
      <c r="O47" s="18">
        <f>LEN(H47)</f>
        <v>11</v>
      </c>
      <c r="P47" t="s">
        <v>288</v>
      </c>
    </row>
    <row r="48" spans="1:21" x14ac:dyDescent="0.3">
      <c r="A48" s="14">
        <v>10</v>
      </c>
      <c r="B48">
        <v>4066</v>
      </c>
      <c r="C48" t="s">
        <v>137</v>
      </c>
      <c r="D48" s="9">
        <v>27312172701551</v>
      </c>
      <c r="E48" s="5">
        <v>20000</v>
      </c>
      <c r="F48" s="5">
        <v>18</v>
      </c>
      <c r="G48" s="12" t="str">
        <f>CONCATENATE(J48,"-",K48,"-",L48,"-",M48)</f>
        <v>6028-1738-0313-5078</v>
      </c>
      <c r="H48" s="3" t="s">
        <v>208</v>
      </c>
      <c r="I48" t="s">
        <v>197</v>
      </c>
      <c r="J48" s="11" t="s">
        <v>37</v>
      </c>
      <c r="K48" s="11" t="s">
        <v>36</v>
      </c>
      <c r="L48" s="10" t="s">
        <v>4</v>
      </c>
      <c r="M48" s="10" t="s">
        <v>5</v>
      </c>
      <c r="O48" s="18">
        <f>LEN(H48)</f>
        <v>11</v>
      </c>
      <c r="P48" t="s">
        <v>288</v>
      </c>
    </row>
    <row r="49" spans="1:20" x14ac:dyDescent="0.3">
      <c r="A49" s="14">
        <v>14</v>
      </c>
      <c r="B49">
        <v>4819</v>
      </c>
      <c r="C49" t="s">
        <v>141</v>
      </c>
      <c r="D49" s="9">
        <v>28711232701411</v>
      </c>
      <c r="E49" s="5">
        <v>20000</v>
      </c>
      <c r="F49" s="5">
        <v>18</v>
      </c>
      <c r="G49" s="12" t="str">
        <f>CONCATENATE(J49,"-",K49,"-",L49,"-",M49)</f>
        <v>5076-1335-0313-5078</v>
      </c>
      <c r="H49" s="3" t="s">
        <v>213</v>
      </c>
      <c r="I49" t="s">
        <v>204</v>
      </c>
      <c r="J49" s="11" t="s">
        <v>290</v>
      </c>
      <c r="K49" s="11" t="s">
        <v>289</v>
      </c>
      <c r="L49" s="10" t="s">
        <v>4</v>
      </c>
      <c r="M49" s="10" t="s">
        <v>5</v>
      </c>
      <c r="O49" s="18">
        <f>LEN(H49)</f>
        <v>11</v>
      </c>
      <c r="P49" t="s">
        <v>288</v>
      </c>
      <c r="Q49" s="11" t="s">
        <v>44</v>
      </c>
      <c r="R49" s="11" t="s">
        <v>43</v>
      </c>
      <c r="S49" s="10" t="s">
        <v>4</v>
      </c>
      <c r="T49" s="10" t="s">
        <v>5</v>
      </c>
    </row>
    <row r="50" spans="1:20" x14ac:dyDescent="0.3">
      <c r="A50" s="14">
        <v>17</v>
      </c>
      <c r="B50">
        <v>5589</v>
      </c>
      <c r="C50" t="s">
        <v>144</v>
      </c>
      <c r="D50" s="9">
        <v>27912242702396</v>
      </c>
      <c r="E50" s="5">
        <v>20000</v>
      </c>
      <c r="F50" s="5">
        <v>12</v>
      </c>
      <c r="G50" s="12" t="str">
        <f>CONCATENATE(J50,"-",K50,"-",L50,"-",M50)</f>
        <v>4004-4057-0313-5078</v>
      </c>
      <c r="H50" s="3" t="s">
        <v>217</v>
      </c>
      <c r="I50" t="s">
        <v>218</v>
      </c>
      <c r="J50" s="11" t="s">
        <v>50</v>
      </c>
      <c r="K50" s="11" t="s">
        <v>49</v>
      </c>
      <c r="L50" s="10" t="s">
        <v>4</v>
      </c>
      <c r="M50" s="10" t="s">
        <v>5</v>
      </c>
      <c r="O50" s="18">
        <f>LEN(H50)</f>
        <v>11</v>
      </c>
      <c r="P50" t="s">
        <v>288</v>
      </c>
    </row>
    <row r="51" spans="1:20" x14ac:dyDescent="0.3">
      <c r="A51" s="14">
        <v>24</v>
      </c>
      <c r="B51">
        <v>5680</v>
      </c>
      <c r="C51" t="s">
        <v>151</v>
      </c>
      <c r="D51" s="9">
        <v>29010142701639</v>
      </c>
      <c r="E51" s="5">
        <v>20000</v>
      </c>
      <c r="F51" s="5">
        <v>12</v>
      </c>
      <c r="G51" s="12" t="str">
        <f>CONCATENATE(J51,"-",K51,"-",L51,"-",M51)</f>
        <v>3565-3185-0313-5078</v>
      </c>
      <c r="H51" s="3" t="s">
        <v>225</v>
      </c>
      <c r="I51" t="s">
        <v>215</v>
      </c>
      <c r="J51" s="11" t="s">
        <v>62</v>
      </c>
      <c r="K51" s="11" t="s">
        <v>61</v>
      </c>
      <c r="L51" s="10" t="s">
        <v>4</v>
      </c>
      <c r="M51" s="10" t="s">
        <v>5</v>
      </c>
      <c r="O51" s="18">
        <f>LEN(H51)</f>
        <v>11</v>
      </c>
      <c r="P51" t="s">
        <v>288</v>
      </c>
    </row>
    <row r="52" spans="1:20" x14ac:dyDescent="0.3">
      <c r="A52" s="14">
        <v>29</v>
      </c>
      <c r="B52">
        <v>5686</v>
      </c>
      <c r="C52" t="s">
        <v>156</v>
      </c>
      <c r="D52" s="9">
        <v>29303082701119</v>
      </c>
      <c r="E52" s="5">
        <v>20000</v>
      </c>
      <c r="F52" s="5">
        <v>18</v>
      </c>
      <c r="G52" s="12" t="str">
        <f>CONCATENATE(J52,"-",K52,"-",L52,"-",M52)</f>
        <v>2968-4626-0313-5078</v>
      </c>
      <c r="H52" s="3" t="s">
        <v>230</v>
      </c>
      <c r="I52" t="s">
        <v>202</v>
      </c>
      <c r="J52" s="11" t="s">
        <v>66</v>
      </c>
      <c r="K52" s="11" t="s">
        <v>65</v>
      </c>
      <c r="L52" s="10" t="s">
        <v>4</v>
      </c>
      <c r="M52" s="10" t="s">
        <v>5</v>
      </c>
      <c r="O52" s="18">
        <f>LEN(H52)</f>
        <v>11</v>
      </c>
      <c r="P52" t="s">
        <v>288</v>
      </c>
    </row>
    <row r="53" spans="1:20" x14ac:dyDescent="0.3">
      <c r="A53" s="14">
        <v>34</v>
      </c>
      <c r="B53">
        <v>5691</v>
      </c>
      <c r="C53" t="s">
        <v>161</v>
      </c>
      <c r="D53" s="9">
        <v>29403202700078</v>
      </c>
      <c r="E53" s="5">
        <v>20000</v>
      </c>
      <c r="F53" s="5">
        <v>6</v>
      </c>
      <c r="G53" s="12" t="str">
        <f>CONCATENATE(J53,"-",K53,"-",L53,"-",M53)</f>
        <v>6718-9801-0313-5078</v>
      </c>
      <c r="H53" s="3" t="s">
        <v>236</v>
      </c>
      <c r="I53" t="s">
        <v>210</v>
      </c>
      <c r="J53" s="11" t="s">
        <v>76</v>
      </c>
      <c r="K53" s="11" t="s">
        <v>75</v>
      </c>
      <c r="L53" s="10" t="s">
        <v>4</v>
      </c>
      <c r="M53" s="10" t="s">
        <v>5</v>
      </c>
      <c r="O53" s="18">
        <f>LEN(H53)</f>
        <v>11</v>
      </c>
      <c r="P53" t="s">
        <v>288</v>
      </c>
    </row>
    <row r="54" spans="1:20" x14ac:dyDescent="0.3">
      <c r="A54" s="14">
        <v>39</v>
      </c>
      <c r="B54">
        <v>5696</v>
      </c>
      <c r="C54" t="s">
        <v>166</v>
      </c>
      <c r="D54" s="9">
        <v>27802012700866</v>
      </c>
      <c r="E54" s="5">
        <v>20000</v>
      </c>
      <c r="F54" s="5">
        <v>18</v>
      </c>
      <c r="G54" s="12" t="str">
        <f>CONCATENATE(J54,"-",K54,"-",L54,"-",M54)</f>
        <v>4526-4577-0313-5078</v>
      </c>
      <c r="H54" s="3" t="s">
        <v>241</v>
      </c>
      <c r="I54" t="s">
        <v>215</v>
      </c>
      <c r="J54" s="11" t="s">
        <v>80</v>
      </c>
      <c r="K54" s="11" t="s">
        <v>79</v>
      </c>
      <c r="L54" s="10" t="s">
        <v>4</v>
      </c>
      <c r="M54" s="10" t="s">
        <v>5</v>
      </c>
      <c r="O54" s="18">
        <f>LEN(H54)</f>
        <v>11</v>
      </c>
      <c r="P54" t="s">
        <v>288</v>
      </c>
    </row>
    <row r="55" spans="1:20" x14ac:dyDescent="0.3">
      <c r="A55" s="14">
        <v>42</v>
      </c>
      <c r="B55">
        <v>5699</v>
      </c>
      <c r="C55" t="s">
        <v>169</v>
      </c>
      <c r="D55" s="9">
        <v>29509162700633</v>
      </c>
      <c r="E55" s="5">
        <v>20000</v>
      </c>
      <c r="F55" s="5">
        <v>18</v>
      </c>
      <c r="G55" s="12" t="str">
        <f>CONCATENATE(J55,"-",K55,"-",L55,"-",M55)</f>
        <v>4476-3553-0313-5078</v>
      </c>
      <c r="H55" s="3" t="s">
        <v>244</v>
      </c>
      <c r="I55" t="s">
        <v>218</v>
      </c>
      <c r="J55" s="11" t="s">
        <v>86</v>
      </c>
      <c r="K55" s="11" t="s">
        <v>85</v>
      </c>
      <c r="L55" s="10" t="s">
        <v>4</v>
      </c>
      <c r="M55" s="10" t="s">
        <v>5</v>
      </c>
      <c r="O55" s="18">
        <f>LEN(H55)</f>
        <v>11</v>
      </c>
      <c r="P55" t="s">
        <v>288</v>
      </c>
    </row>
    <row r="56" spans="1:20" x14ac:dyDescent="0.3">
      <c r="A56" s="14">
        <v>51</v>
      </c>
      <c r="B56">
        <v>5709</v>
      </c>
      <c r="C56" t="s">
        <v>178</v>
      </c>
      <c r="D56" s="9">
        <v>29506242702361</v>
      </c>
      <c r="E56" s="5">
        <v>20000</v>
      </c>
      <c r="F56" s="5">
        <v>6</v>
      </c>
      <c r="G56" s="12" t="str">
        <f>CONCATENATE(J56,"-",K56,"-",L56,"-",M56)</f>
        <v>0580-1962-0313-5078</v>
      </c>
      <c r="H56" s="3" t="s">
        <v>252</v>
      </c>
      <c r="I56" t="s">
        <v>210</v>
      </c>
      <c r="J56" s="11" t="s">
        <v>104</v>
      </c>
      <c r="K56" s="11" t="s">
        <v>103</v>
      </c>
      <c r="L56" s="10" t="s">
        <v>4</v>
      </c>
      <c r="M56" s="10" t="s">
        <v>5</v>
      </c>
      <c r="O56" s="18">
        <f>LEN(H56)</f>
        <v>11</v>
      </c>
      <c r="P56" t="s">
        <v>288</v>
      </c>
    </row>
    <row r="57" spans="1:20" x14ac:dyDescent="0.3">
      <c r="A57" s="14">
        <v>59</v>
      </c>
      <c r="B57">
        <v>5717</v>
      </c>
      <c r="C57" t="s">
        <v>186</v>
      </c>
      <c r="D57" s="9">
        <v>28201012702265</v>
      </c>
      <c r="E57" s="5">
        <v>20000</v>
      </c>
      <c r="F57" s="5">
        <v>18</v>
      </c>
      <c r="G57" s="12" t="str">
        <f>CONCATENATE(J57,"-",K57,"-",L57,"-",M57)</f>
        <v>2588-5615-0313-5078</v>
      </c>
      <c r="H57" s="3" t="s">
        <v>259</v>
      </c>
      <c r="I57" t="s">
        <v>197</v>
      </c>
      <c r="J57" s="11" t="s">
        <v>110</v>
      </c>
      <c r="K57" s="11" t="s">
        <v>109</v>
      </c>
      <c r="L57" s="10" t="s">
        <v>4</v>
      </c>
      <c r="M57" s="10" t="s">
        <v>5</v>
      </c>
      <c r="O57" s="18">
        <f>LEN(H57)</f>
        <v>11</v>
      </c>
      <c r="P57" t="s">
        <v>288</v>
      </c>
    </row>
    <row r="58" spans="1:20" x14ac:dyDescent="0.3">
      <c r="A58" s="14"/>
      <c r="B58">
        <v>3330</v>
      </c>
      <c r="C58" t="s">
        <v>299</v>
      </c>
      <c r="D58" s="9">
        <v>27309072700131</v>
      </c>
      <c r="E58" s="5">
        <v>29000</v>
      </c>
      <c r="F58" s="5">
        <v>18</v>
      </c>
      <c r="G58" s="12" t="str">
        <f>CONCATENATE(J58,"-",K58,"-",L58,"-",M58)</f>
        <v>6496-4677-0313-5078</v>
      </c>
      <c r="H58" s="3" t="s">
        <v>327</v>
      </c>
      <c r="I58" t="s">
        <v>210</v>
      </c>
      <c r="J58" s="11" t="s">
        <v>350</v>
      </c>
      <c r="K58" s="11" t="s">
        <v>351</v>
      </c>
      <c r="L58" s="10" t="s">
        <v>4</v>
      </c>
      <c r="M58" s="10" t="s">
        <v>5</v>
      </c>
      <c r="O58" s="18">
        <f>LEN(H58)</f>
        <v>11</v>
      </c>
      <c r="P58" t="s">
        <v>399</v>
      </c>
    </row>
    <row r="59" spans="1:20" x14ac:dyDescent="0.3">
      <c r="A59" s="14"/>
      <c r="B59">
        <v>3903</v>
      </c>
      <c r="C59" t="s">
        <v>303</v>
      </c>
      <c r="D59" s="9">
        <v>28208222700413</v>
      </c>
      <c r="E59" s="5">
        <v>50000</v>
      </c>
      <c r="F59" s="5">
        <v>18</v>
      </c>
      <c r="G59" s="12" t="str">
        <f>CONCATENATE(J59,"-",K59,"-",L59,"-",M59)</f>
        <v>5579-0099-0313-5078</v>
      </c>
      <c r="H59" s="3" t="s">
        <v>331</v>
      </c>
      <c r="I59" t="s">
        <v>233</v>
      </c>
      <c r="J59" s="11" t="s">
        <v>406</v>
      </c>
      <c r="K59" s="11" t="s">
        <v>405</v>
      </c>
      <c r="L59" s="10" t="s">
        <v>4</v>
      </c>
      <c r="M59" s="10" t="s">
        <v>5</v>
      </c>
      <c r="O59" s="18">
        <f>LEN(H59)</f>
        <v>11</v>
      </c>
      <c r="P59" t="s">
        <v>399</v>
      </c>
    </row>
    <row r="60" spans="1:20" x14ac:dyDescent="0.3">
      <c r="A60" s="14">
        <v>1</v>
      </c>
      <c r="B60">
        <v>2846</v>
      </c>
      <c r="C60" t="s">
        <v>128</v>
      </c>
      <c r="D60" s="9">
        <v>26209272701142</v>
      </c>
      <c r="E60" s="5">
        <v>20000</v>
      </c>
      <c r="F60" s="5">
        <v>18</v>
      </c>
      <c r="G60" s="12" t="str">
        <f>CONCATENATE(J60,"-",K60,"-",L60,"-",M60)</f>
        <v>6533-5471-0313-5078</v>
      </c>
      <c r="H60" s="19" t="s">
        <v>195</v>
      </c>
      <c r="I60" t="s">
        <v>127</v>
      </c>
      <c r="J60" s="11" t="s">
        <v>19</v>
      </c>
      <c r="K60" s="11" t="s">
        <v>18</v>
      </c>
      <c r="L60" s="10" t="s">
        <v>4</v>
      </c>
      <c r="M60" s="10" t="s">
        <v>5</v>
      </c>
      <c r="O60" s="18">
        <f>LEN(H60)</f>
        <v>11</v>
      </c>
      <c r="P60" t="s">
        <v>287</v>
      </c>
    </row>
    <row r="61" spans="1:20" x14ac:dyDescent="0.3">
      <c r="A61" s="14">
        <v>15</v>
      </c>
      <c r="B61">
        <v>5062</v>
      </c>
      <c r="C61" t="s">
        <v>142</v>
      </c>
      <c r="D61" s="9">
        <v>28811272700781</v>
      </c>
      <c r="E61" s="5">
        <v>20000</v>
      </c>
      <c r="F61" s="5">
        <v>18</v>
      </c>
      <c r="G61" s="12" t="str">
        <f>CONCATENATE(J61,"-",K61,"-",L61,"-",M61)</f>
        <v>7858-0709-0313-5078</v>
      </c>
      <c r="H61" s="3" t="s">
        <v>214</v>
      </c>
      <c r="I61" t="s">
        <v>215</v>
      </c>
      <c r="J61" s="11" t="s">
        <v>285</v>
      </c>
      <c r="K61" s="11" t="s">
        <v>286</v>
      </c>
      <c r="L61" s="10" t="s">
        <v>4</v>
      </c>
      <c r="M61" s="10" t="s">
        <v>5</v>
      </c>
      <c r="O61" s="18">
        <f>LEN(H61)</f>
        <v>11</v>
      </c>
      <c r="P61" t="s">
        <v>287</v>
      </c>
    </row>
    <row r="62" spans="1:20" x14ac:dyDescent="0.3">
      <c r="A62" s="14">
        <v>40</v>
      </c>
      <c r="B62">
        <v>5697</v>
      </c>
      <c r="C62" t="s">
        <v>167</v>
      </c>
      <c r="D62" s="9">
        <v>28801072702733</v>
      </c>
      <c r="E62" s="5">
        <v>10000</v>
      </c>
      <c r="F62" s="5">
        <v>18</v>
      </c>
      <c r="G62" s="12" t="str">
        <f>CONCATENATE(J62,"-",K62,"-",L62,"-",M62)</f>
        <v>7061-9422-0313-5078</v>
      </c>
      <c r="H62" s="3" t="s">
        <v>242</v>
      </c>
      <c r="I62" t="s">
        <v>197</v>
      </c>
      <c r="J62" s="11" t="s">
        <v>82</v>
      </c>
      <c r="K62" s="11" t="s">
        <v>81</v>
      </c>
      <c r="L62" s="10" t="s">
        <v>4</v>
      </c>
      <c r="M62" s="10" t="s">
        <v>5</v>
      </c>
      <c r="O62" s="18">
        <f>LEN(H62)</f>
        <v>11</v>
      </c>
      <c r="P62" t="s">
        <v>287</v>
      </c>
    </row>
    <row r="63" spans="1:20" x14ac:dyDescent="0.3">
      <c r="A63" s="14">
        <v>47</v>
      </c>
      <c r="B63">
        <v>5704</v>
      </c>
      <c r="C63" t="s">
        <v>174</v>
      </c>
      <c r="D63" s="9">
        <v>29903212704341</v>
      </c>
      <c r="E63" s="5">
        <v>15000</v>
      </c>
      <c r="F63" s="5">
        <v>18</v>
      </c>
      <c r="G63" s="12" t="str">
        <f>CONCATENATE(J63,"-",K63,"-",L63,"-",M63)</f>
        <v>7997-5502-0313-5078</v>
      </c>
      <c r="H63" s="3" t="s">
        <v>248</v>
      </c>
      <c r="I63" t="s">
        <v>202</v>
      </c>
      <c r="J63" s="11" t="s">
        <v>96</v>
      </c>
      <c r="K63" s="11" t="s">
        <v>95</v>
      </c>
      <c r="L63" s="10" t="s">
        <v>4</v>
      </c>
      <c r="M63" s="10" t="s">
        <v>5</v>
      </c>
      <c r="O63" s="18">
        <f>LEN(H63)</f>
        <v>11</v>
      </c>
      <c r="P63" t="s">
        <v>287</v>
      </c>
    </row>
    <row r="64" spans="1:20" x14ac:dyDescent="0.3">
      <c r="A64" s="14">
        <v>26</v>
      </c>
      <c r="B64">
        <v>5682</v>
      </c>
      <c r="C64" t="s">
        <v>153</v>
      </c>
      <c r="D64" s="9">
        <v>30109072700089</v>
      </c>
      <c r="E64" s="5">
        <v>20000</v>
      </c>
      <c r="F64" s="5">
        <v>18</v>
      </c>
      <c r="G64" s="12" t="str">
        <f>CONCATENATE(J64,"-",K64,"-",L64,"-",M64)</f>
        <v>8186-1063-0320-5078</v>
      </c>
      <c r="H64" s="3" t="s">
        <v>227</v>
      </c>
      <c r="I64" t="s">
        <v>218</v>
      </c>
      <c r="J64" s="11" t="s">
        <v>282</v>
      </c>
      <c r="K64" s="11" t="s">
        <v>272</v>
      </c>
      <c r="L64" s="10" t="s">
        <v>269</v>
      </c>
      <c r="M64" s="10" t="s">
        <v>5</v>
      </c>
      <c r="O64" s="18">
        <f>LEN(H64)</f>
        <v>11</v>
      </c>
      <c r="P64" t="s">
        <v>268</v>
      </c>
    </row>
    <row r="65" spans="1:21" x14ac:dyDescent="0.3">
      <c r="A65" s="14">
        <v>27</v>
      </c>
      <c r="B65">
        <v>5683</v>
      </c>
      <c r="C65" t="s">
        <v>154</v>
      </c>
      <c r="D65" s="9">
        <v>28002022702686</v>
      </c>
      <c r="E65" s="5">
        <v>20000</v>
      </c>
      <c r="F65" s="5">
        <v>18</v>
      </c>
      <c r="G65" s="12" t="str">
        <f>CONCATENATE(J65,"-",K65,"-",L65,"-",M65)</f>
        <v>7642-1063-0320-5078</v>
      </c>
      <c r="H65" s="3" t="s">
        <v>228</v>
      </c>
      <c r="I65" t="s">
        <v>218</v>
      </c>
      <c r="J65" s="11" t="s">
        <v>279</v>
      </c>
      <c r="K65" s="11" t="s">
        <v>272</v>
      </c>
      <c r="L65" s="10" t="s">
        <v>269</v>
      </c>
      <c r="M65" s="10" t="s">
        <v>5</v>
      </c>
      <c r="O65" s="18">
        <f>LEN(H65)</f>
        <v>11</v>
      </c>
      <c r="P65" t="s">
        <v>268</v>
      </c>
    </row>
    <row r="66" spans="1:21" x14ac:dyDescent="0.3">
      <c r="A66" s="14">
        <v>28</v>
      </c>
      <c r="B66">
        <v>5685</v>
      </c>
      <c r="C66" t="s">
        <v>155</v>
      </c>
      <c r="D66" s="9">
        <v>28709292700789</v>
      </c>
      <c r="E66" s="5">
        <v>20000</v>
      </c>
      <c r="F66" s="5">
        <v>18</v>
      </c>
      <c r="G66" s="12" t="str">
        <f>CONCATENATE(J66,"-",K66,"-",L66,"-",M66)</f>
        <v>8178-1063-0320-5078</v>
      </c>
      <c r="H66" s="3" t="s">
        <v>229</v>
      </c>
      <c r="I66" t="s">
        <v>202</v>
      </c>
      <c r="J66" s="11" t="s">
        <v>275</v>
      </c>
      <c r="K66" s="11" t="s">
        <v>272</v>
      </c>
      <c r="L66" s="10" t="s">
        <v>269</v>
      </c>
      <c r="M66" s="10" t="s">
        <v>5</v>
      </c>
      <c r="O66" s="18">
        <f>LEN(H66)</f>
        <v>11</v>
      </c>
      <c r="P66" t="s">
        <v>268</v>
      </c>
    </row>
    <row r="67" spans="1:21" x14ac:dyDescent="0.3">
      <c r="A67" s="14">
        <v>35</v>
      </c>
      <c r="B67">
        <v>5692</v>
      </c>
      <c r="C67" t="s">
        <v>162</v>
      </c>
      <c r="D67" s="9">
        <v>29505012700664</v>
      </c>
      <c r="E67" s="5">
        <v>10000</v>
      </c>
      <c r="F67" s="5">
        <v>18</v>
      </c>
      <c r="G67" s="12" t="str">
        <f>CONCATENATE(J67,"-",K67,"-",L67,"-",M67)</f>
        <v>7634-1063-0320-5078</v>
      </c>
      <c r="H67" s="3" t="s">
        <v>237</v>
      </c>
      <c r="I67" t="s">
        <v>204</v>
      </c>
      <c r="J67" s="11" t="s">
        <v>281</v>
      </c>
      <c r="K67" s="11" t="s">
        <v>272</v>
      </c>
      <c r="L67" s="10" t="s">
        <v>269</v>
      </c>
      <c r="M67" s="10" t="s">
        <v>5</v>
      </c>
      <c r="O67" s="18">
        <f>LEN(H67)</f>
        <v>11</v>
      </c>
      <c r="P67" t="s">
        <v>268</v>
      </c>
    </row>
    <row r="68" spans="1:21" x14ac:dyDescent="0.3">
      <c r="A68" s="14">
        <v>52</v>
      </c>
      <c r="B68">
        <v>5710</v>
      </c>
      <c r="C68" t="s">
        <v>179</v>
      </c>
      <c r="D68" s="9">
        <v>29503132701769</v>
      </c>
      <c r="E68" s="5">
        <v>15000</v>
      </c>
      <c r="F68" s="5">
        <v>18</v>
      </c>
      <c r="G68" s="12" t="str">
        <f>CONCATENATE(J68,"-",K68,"-",L68,"-",M68)</f>
        <v>7683-1063-0320-5078</v>
      </c>
      <c r="H68" s="3" t="s">
        <v>253</v>
      </c>
      <c r="I68" t="s">
        <v>215</v>
      </c>
      <c r="J68" s="11" t="s">
        <v>283</v>
      </c>
      <c r="K68" s="11" t="s">
        <v>272</v>
      </c>
      <c r="L68" s="10" t="s">
        <v>269</v>
      </c>
      <c r="M68" s="10" t="s">
        <v>5</v>
      </c>
      <c r="O68" s="18">
        <f>LEN(H68)</f>
        <v>11</v>
      </c>
      <c r="P68" t="s">
        <v>268</v>
      </c>
    </row>
    <row r="69" spans="1:21" x14ac:dyDescent="0.3">
      <c r="A69" s="14">
        <v>53</v>
      </c>
      <c r="B69">
        <v>5711</v>
      </c>
      <c r="C69" t="s">
        <v>180</v>
      </c>
      <c r="D69" s="9">
        <v>29602112701809</v>
      </c>
      <c r="E69" s="5">
        <v>20000</v>
      </c>
      <c r="F69" s="5">
        <v>18</v>
      </c>
      <c r="G69" s="12" t="str">
        <f>CONCATENATE(J69,"-",K69,"-",L69,"-",M69)</f>
        <v>7675-1063-0320-5078</v>
      </c>
      <c r="H69" s="3" t="s">
        <v>242</v>
      </c>
      <c r="I69" t="s">
        <v>197</v>
      </c>
      <c r="J69" s="11" t="s">
        <v>274</v>
      </c>
      <c r="K69" s="11" t="s">
        <v>272</v>
      </c>
      <c r="L69" s="10" t="s">
        <v>269</v>
      </c>
      <c r="M69" s="10" t="s">
        <v>5</v>
      </c>
      <c r="O69" s="18">
        <f>LEN(H69)</f>
        <v>11</v>
      </c>
      <c r="P69" t="s">
        <v>268</v>
      </c>
    </row>
    <row r="70" spans="1:21" x14ac:dyDescent="0.3">
      <c r="A70" s="14">
        <v>54</v>
      </c>
      <c r="B70">
        <v>5712</v>
      </c>
      <c r="C70" t="s">
        <v>181</v>
      </c>
      <c r="D70" s="9">
        <v>29008112701681</v>
      </c>
      <c r="E70" s="5">
        <v>20000</v>
      </c>
      <c r="F70" s="5">
        <v>18</v>
      </c>
      <c r="G70" s="12" t="str">
        <f>CONCATENATE(J70,"-",K70,"-",L70,"-",M70)</f>
        <v>7618-1063-0320-5078</v>
      </c>
      <c r="H70" s="3" t="s">
        <v>254</v>
      </c>
      <c r="I70" t="s">
        <v>233</v>
      </c>
      <c r="J70" s="11" t="s">
        <v>273</v>
      </c>
      <c r="K70" s="11" t="s">
        <v>272</v>
      </c>
      <c r="L70" s="10" t="s">
        <v>269</v>
      </c>
      <c r="M70" s="10" t="s">
        <v>5</v>
      </c>
      <c r="O70" s="18">
        <f>LEN(H70)</f>
        <v>11</v>
      </c>
      <c r="P70" t="s">
        <v>268</v>
      </c>
    </row>
    <row r="71" spans="1:21" x14ac:dyDescent="0.3">
      <c r="A71" s="14">
        <v>55</v>
      </c>
      <c r="B71">
        <v>5713</v>
      </c>
      <c r="C71" t="s">
        <v>182</v>
      </c>
      <c r="D71" s="9">
        <v>29702102700205</v>
      </c>
      <c r="E71" s="5">
        <v>20000</v>
      </c>
      <c r="F71" s="5">
        <v>18</v>
      </c>
      <c r="G71" s="12" t="str">
        <f>CONCATENATE(J71,"-",K71,"-",L71,"-",M71)</f>
        <v>7709-1063-0320-5078</v>
      </c>
      <c r="H71" s="3" t="s">
        <v>255</v>
      </c>
      <c r="I71" t="s">
        <v>218</v>
      </c>
      <c r="J71" s="11" t="s">
        <v>277</v>
      </c>
      <c r="K71" s="11" t="s">
        <v>272</v>
      </c>
      <c r="L71" s="10" t="s">
        <v>269</v>
      </c>
      <c r="M71" s="10" t="s">
        <v>5</v>
      </c>
      <c r="O71" s="18">
        <f>LEN(H71)</f>
        <v>11</v>
      </c>
      <c r="P71" t="s">
        <v>268</v>
      </c>
    </row>
    <row r="72" spans="1:21" x14ac:dyDescent="0.3">
      <c r="A72" s="14">
        <v>56</v>
      </c>
      <c r="B72">
        <v>5714</v>
      </c>
      <c r="C72" t="s">
        <v>183</v>
      </c>
      <c r="D72" s="9">
        <v>28808282700568</v>
      </c>
      <c r="E72" s="5">
        <v>20000</v>
      </c>
      <c r="F72" s="5">
        <v>18</v>
      </c>
      <c r="G72" s="12" t="str">
        <f>CONCATENATE(J72,"-",K72,"-",L72,"-",M72)</f>
        <v>7691-1063-0320-5078</v>
      </c>
      <c r="H72" s="3" t="s">
        <v>256</v>
      </c>
      <c r="I72" t="s">
        <v>200</v>
      </c>
      <c r="J72" s="11" t="s">
        <v>278</v>
      </c>
      <c r="K72" s="11" t="s">
        <v>272</v>
      </c>
      <c r="L72" s="10" t="s">
        <v>269</v>
      </c>
      <c r="M72" s="10" t="s">
        <v>5</v>
      </c>
      <c r="O72" s="18">
        <f>LEN(H72)</f>
        <v>11</v>
      </c>
      <c r="P72" t="s">
        <v>268</v>
      </c>
      <c r="Q72" t="s">
        <v>348</v>
      </c>
      <c r="R72" t="s">
        <v>349</v>
      </c>
      <c r="S72" t="s">
        <v>4</v>
      </c>
      <c r="T72" t="s">
        <v>5</v>
      </c>
    </row>
    <row r="73" spans="1:21" x14ac:dyDescent="0.3">
      <c r="A73" s="14">
        <v>44</v>
      </c>
      <c r="B73">
        <v>5701</v>
      </c>
      <c r="C73" t="s">
        <v>171</v>
      </c>
      <c r="D73" s="9">
        <v>29802052700211</v>
      </c>
      <c r="E73" s="5">
        <v>20000</v>
      </c>
      <c r="F73" s="5">
        <v>12</v>
      </c>
      <c r="G73" s="12" t="str">
        <f>CONCATENATE(J73,"-",K73,"-",L73,"-",M73)</f>
        <v>1577-7152-0313-5078</v>
      </c>
      <c r="H73" s="3" t="s">
        <v>245</v>
      </c>
      <c r="I73" t="s">
        <v>200</v>
      </c>
      <c r="J73" s="11" t="s">
        <v>90</v>
      </c>
      <c r="K73" s="11" t="s">
        <v>89</v>
      </c>
      <c r="L73" s="10" t="s">
        <v>4</v>
      </c>
      <c r="M73" s="10" t="s">
        <v>5</v>
      </c>
      <c r="O73" s="18">
        <f>LEN(H73)</f>
        <v>11</v>
      </c>
      <c r="P73" t="s">
        <v>288</v>
      </c>
    </row>
    <row r="74" spans="1:21" x14ac:dyDescent="0.3">
      <c r="A74" s="14">
        <v>48</v>
      </c>
      <c r="B74">
        <v>5705</v>
      </c>
      <c r="C74" t="s">
        <v>175</v>
      </c>
      <c r="D74" s="9">
        <v>29801012702436</v>
      </c>
      <c r="E74" s="5">
        <v>20000</v>
      </c>
      <c r="F74" s="5">
        <v>12</v>
      </c>
      <c r="G74" s="12" t="str">
        <f>CONCATENATE(J74,"-",K74,"-",L74,"-",M74)</f>
        <v>1405-7036-0313-5078</v>
      </c>
      <c r="H74" s="3" t="s">
        <v>249</v>
      </c>
      <c r="I74" t="s">
        <v>200</v>
      </c>
      <c r="J74" s="11" t="s">
        <v>98</v>
      </c>
      <c r="K74" s="11" t="s">
        <v>97</v>
      </c>
      <c r="L74" s="10" t="s">
        <v>4</v>
      </c>
      <c r="M74" s="10" t="s">
        <v>5</v>
      </c>
      <c r="O74" s="18">
        <f>LEN(H74)</f>
        <v>11</v>
      </c>
      <c r="P74" t="s">
        <v>288</v>
      </c>
      <c r="U74" t="str">
        <f>CONCATENATE(M74,L74,K74,J74)</f>
        <v>5078031370361405</v>
      </c>
    </row>
    <row r="75" spans="1:21" x14ac:dyDescent="0.3">
      <c r="A75" s="14">
        <v>49</v>
      </c>
      <c r="B75">
        <v>5706</v>
      </c>
      <c r="C75" t="s">
        <v>176</v>
      </c>
      <c r="D75" s="9">
        <v>29801012702398</v>
      </c>
      <c r="E75" s="5">
        <v>20000</v>
      </c>
      <c r="F75" s="5">
        <v>12</v>
      </c>
      <c r="G75" s="12" t="str">
        <f>CONCATENATE(J75,"-",K75,"-",L75,"-",M75)</f>
        <v>5289-0561-0313-5078</v>
      </c>
      <c r="H75" s="3" t="s">
        <v>250</v>
      </c>
      <c r="I75" t="s">
        <v>200</v>
      </c>
      <c r="J75" s="11" t="s">
        <v>100</v>
      </c>
      <c r="K75" s="11" t="s">
        <v>99</v>
      </c>
      <c r="L75" s="10" t="s">
        <v>4</v>
      </c>
      <c r="M75" s="10" t="s">
        <v>5</v>
      </c>
      <c r="O75" s="18">
        <f>LEN(H75)</f>
        <v>11</v>
      </c>
      <c r="P75" t="s">
        <v>288</v>
      </c>
    </row>
    <row r="76" spans="1:21" x14ac:dyDescent="0.3">
      <c r="A76" s="14">
        <v>57</v>
      </c>
      <c r="B76">
        <v>5715</v>
      </c>
      <c r="C76" t="s">
        <v>184</v>
      </c>
      <c r="D76" s="9">
        <v>28911102700412</v>
      </c>
      <c r="E76" s="5">
        <v>20000</v>
      </c>
      <c r="F76" s="5">
        <v>12</v>
      </c>
      <c r="G76" s="12" t="str">
        <f>CONCATENATE(J76,"-",K76,"-",L76,"-",M76)</f>
        <v>3128-5933-0313-5078</v>
      </c>
      <c r="H76" s="3" t="s">
        <v>257</v>
      </c>
      <c r="I76" t="s">
        <v>218</v>
      </c>
      <c r="J76" s="11" t="s">
        <v>106</v>
      </c>
      <c r="K76" s="11" t="s">
        <v>105</v>
      </c>
      <c r="L76" s="10" t="s">
        <v>4</v>
      </c>
      <c r="M76" s="10" t="s">
        <v>5</v>
      </c>
      <c r="O76" s="18">
        <f>LEN(H76)</f>
        <v>11</v>
      </c>
      <c r="P76" t="s">
        <v>288</v>
      </c>
    </row>
    <row r="77" spans="1:21" x14ac:dyDescent="0.3">
      <c r="A77" s="14">
        <v>60</v>
      </c>
      <c r="B77">
        <v>5719</v>
      </c>
      <c r="C77" t="s">
        <v>187</v>
      </c>
      <c r="D77" s="9">
        <v>29307102702341</v>
      </c>
      <c r="E77" s="5">
        <v>20000</v>
      </c>
      <c r="F77" s="5">
        <v>12</v>
      </c>
      <c r="G77" s="12" t="str">
        <f>CONCATENATE(J77,"-",K77,"-",L77,"-",M77)</f>
        <v>9823-0582-0313-5078</v>
      </c>
      <c r="H77" s="3" t="s">
        <v>260</v>
      </c>
      <c r="I77" t="s">
        <v>218</v>
      </c>
      <c r="J77" s="11" t="s">
        <v>112</v>
      </c>
      <c r="K77" s="11" t="s">
        <v>111</v>
      </c>
      <c r="L77" s="10" t="s">
        <v>4</v>
      </c>
      <c r="M77" s="10" t="s">
        <v>5</v>
      </c>
      <c r="O77" s="18">
        <f>LEN(H77)</f>
        <v>11</v>
      </c>
      <c r="P77" t="s">
        <v>288</v>
      </c>
      <c r="Q77" t="s">
        <v>362</v>
      </c>
      <c r="R77" t="s">
        <v>363</v>
      </c>
      <c r="S77" t="s">
        <v>4</v>
      </c>
      <c r="T77" t="s">
        <v>5</v>
      </c>
      <c r="U77" t="str">
        <f>CONCATENATE(M77,L77,K77,J77)</f>
        <v>5078031305829823</v>
      </c>
    </row>
    <row r="78" spans="1:21" x14ac:dyDescent="0.3">
      <c r="A78" s="14">
        <v>62</v>
      </c>
      <c r="B78">
        <v>5721</v>
      </c>
      <c r="C78" t="s">
        <v>189</v>
      </c>
      <c r="D78" s="9">
        <v>29408132700271</v>
      </c>
      <c r="E78" s="5">
        <v>20000</v>
      </c>
      <c r="F78" s="5">
        <v>18</v>
      </c>
      <c r="G78" s="12" t="str">
        <f>CONCATENATE(J78,"-",K78,"-",L78,"-",M78)</f>
        <v>1874-3300-0313-5078</v>
      </c>
      <c r="H78" s="3" t="s">
        <v>262</v>
      </c>
      <c r="I78" t="s">
        <v>210</v>
      </c>
      <c r="J78" s="11" t="s">
        <v>116</v>
      </c>
      <c r="K78" s="11" t="s">
        <v>115</v>
      </c>
      <c r="L78" s="10" t="s">
        <v>4</v>
      </c>
      <c r="M78" s="10" t="s">
        <v>5</v>
      </c>
      <c r="O78" s="18">
        <f>LEN(H78)</f>
        <v>11</v>
      </c>
      <c r="P78" t="s">
        <v>288</v>
      </c>
    </row>
    <row r="79" spans="1:21" x14ac:dyDescent="0.3">
      <c r="A79" s="14">
        <v>5</v>
      </c>
      <c r="B79">
        <v>2758</v>
      </c>
      <c r="C79" t="s">
        <v>132</v>
      </c>
      <c r="D79" s="9">
        <v>27001262701652</v>
      </c>
      <c r="E79" s="5">
        <v>10000</v>
      </c>
      <c r="F79" s="5">
        <v>18</v>
      </c>
      <c r="G79" s="12" t="str">
        <f>CONCATENATE(J79,"-",K79,"-",L79,"-",M79)</f>
        <v>4313-9136-0313-5078</v>
      </c>
      <c r="H79" s="3" t="s">
        <v>201</v>
      </c>
      <c r="I79" t="s">
        <v>202</v>
      </c>
      <c r="J79" s="11" t="s">
        <v>27</v>
      </c>
      <c r="K79" s="11" t="s">
        <v>26</v>
      </c>
      <c r="L79" s="10" t="s">
        <v>4</v>
      </c>
      <c r="M79" s="10" t="s">
        <v>5</v>
      </c>
      <c r="O79" s="18">
        <f>LEN(H79)</f>
        <v>11</v>
      </c>
      <c r="P79" t="s">
        <v>287</v>
      </c>
    </row>
    <row r="80" spans="1:21" x14ac:dyDescent="0.3">
      <c r="A80" s="14">
        <v>20</v>
      </c>
      <c r="B80">
        <v>5676</v>
      </c>
      <c r="C80" t="s">
        <v>147</v>
      </c>
      <c r="D80" s="9">
        <v>29710012703003</v>
      </c>
      <c r="E80" s="5">
        <v>7000</v>
      </c>
      <c r="F80" s="5">
        <v>18</v>
      </c>
      <c r="G80" s="12" t="str">
        <f>CONCATENATE(J80,"-",K80,"-",L80,"-",M80)</f>
        <v>7628-9279-0313-5078</v>
      </c>
      <c r="H80" s="3" t="s">
        <v>221</v>
      </c>
      <c r="I80" t="s">
        <v>200</v>
      </c>
      <c r="J80" s="11" t="s">
        <v>54</v>
      </c>
      <c r="K80" s="11" t="s">
        <v>53</v>
      </c>
      <c r="L80" s="10" t="s">
        <v>4</v>
      </c>
      <c r="M80" s="10" t="s">
        <v>5</v>
      </c>
      <c r="O80" s="18">
        <f>LEN(H80)</f>
        <v>11</v>
      </c>
      <c r="P80" t="s">
        <v>287</v>
      </c>
      <c r="Q80" t="s">
        <v>411</v>
      </c>
      <c r="R80" t="s">
        <v>412</v>
      </c>
      <c r="S80" t="s">
        <v>4</v>
      </c>
      <c r="T80">
        <v>5078</v>
      </c>
    </row>
    <row r="81" spans="1:20" x14ac:dyDescent="0.3">
      <c r="A81" s="14">
        <v>22</v>
      </c>
      <c r="B81">
        <v>5678</v>
      </c>
      <c r="C81" t="s">
        <v>149</v>
      </c>
      <c r="D81" s="9">
        <v>29805152700315</v>
      </c>
      <c r="E81" s="5">
        <v>15000</v>
      </c>
      <c r="F81" s="5">
        <v>18</v>
      </c>
      <c r="G81" s="12" t="str">
        <f>CONCATENATE(J81,"-",K81,"-",L81,"-",M81)</f>
        <v>5344-6108-0313-5078</v>
      </c>
      <c r="H81" s="3" t="s">
        <v>223</v>
      </c>
      <c r="I81" t="s">
        <v>215</v>
      </c>
      <c r="J81" s="11" t="s">
        <v>58</v>
      </c>
      <c r="K81" s="11" t="s">
        <v>57</v>
      </c>
      <c r="L81" s="10" t="s">
        <v>4</v>
      </c>
      <c r="M81" s="10" t="s">
        <v>5</v>
      </c>
      <c r="O81" s="18">
        <f>LEN(H81)</f>
        <v>11</v>
      </c>
      <c r="P81" t="s">
        <v>287</v>
      </c>
      <c r="Q81" t="s">
        <v>368</v>
      </c>
      <c r="R81" t="s">
        <v>369</v>
      </c>
      <c r="S81" t="s">
        <v>4</v>
      </c>
      <c r="T81" t="s">
        <v>5</v>
      </c>
    </row>
    <row r="82" spans="1:20" x14ac:dyDescent="0.3">
      <c r="A82" s="14">
        <v>23</v>
      </c>
      <c r="B82">
        <v>5679</v>
      </c>
      <c r="C82" t="s">
        <v>150</v>
      </c>
      <c r="D82" s="9">
        <v>28202252701106</v>
      </c>
      <c r="E82" s="5">
        <v>5000</v>
      </c>
      <c r="F82" s="5">
        <v>18</v>
      </c>
      <c r="G82" s="12" t="str">
        <f>CONCATENATE(J82,"-",K82,"-",L82,"-",M82)</f>
        <v>0182-2251-0313-5078</v>
      </c>
      <c r="H82" s="3" t="s">
        <v>224</v>
      </c>
      <c r="I82" t="s">
        <v>215</v>
      </c>
      <c r="J82" s="11" t="s">
        <v>60</v>
      </c>
      <c r="K82" s="11" t="s">
        <v>59</v>
      </c>
      <c r="L82" s="10" t="s">
        <v>4</v>
      </c>
      <c r="M82" s="10" t="s">
        <v>5</v>
      </c>
      <c r="O82" s="18">
        <f>LEN(H82)</f>
        <v>11</v>
      </c>
      <c r="P82" t="s">
        <v>287</v>
      </c>
      <c r="Q82" t="s">
        <v>370</v>
      </c>
      <c r="R82" t="s">
        <v>371</v>
      </c>
      <c r="S82" t="s">
        <v>4</v>
      </c>
      <c r="T82" t="s">
        <v>5</v>
      </c>
    </row>
    <row r="83" spans="1:20" x14ac:dyDescent="0.3">
      <c r="A83" s="14">
        <v>25</v>
      </c>
      <c r="B83">
        <v>5681</v>
      </c>
      <c r="C83" t="s">
        <v>152</v>
      </c>
      <c r="D83" s="9">
        <v>29209272703472</v>
      </c>
      <c r="E83" s="5">
        <v>15000</v>
      </c>
      <c r="F83" s="5">
        <v>18</v>
      </c>
      <c r="G83" s="12" t="str">
        <f>CONCATENATE(J83,"-",K83,"-",L83,"-",M83)</f>
        <v>0218-5161-0313-5078</v>
      </c>
      <c r="H83" s="3" t="s">
        <v>226</v>
      </c>
      <c r="I83" t="s">
        <v>215</v>
      </c>
      <c r="J83" s="11" t="s">
        <v>64</v>
      </c>
      <c r="K83" s="11" t="s">
        <v>63</v>
      </c>
      <c r="L83" s="10" t="s">
        <v>4</v>
      </c>
      <c r="M83" s="10" t="s">
        <v>5</v>
      </c>
      <c r="O83" s="18">
        <f>LEN(H83)</f>
        <v>11</v>
      </c>
      <c r="P83" t="s">
        <v>287</v>
      </c>
    </row>
    <row r="84" spans="1:20" x14ac:dyDescent="0.3">
      <c r="A84" s="14">
        <v>64</v>
      </c>
      <c r="B84">
        <v>5723</v>
      </c>
      <c r="C84" t="s">
        <v>191</v>
      </c>
      <c r="D84" s="9">
        <v>29909272700955</v>
      </c>
      <c r="E84" s="5">
        <v>10000</v>
      </c>
      <c r="F84" s="5">
        <v>18</v>
      </c>
      <c r="G84" s="12" t="str">
        <f>CONCATENATE(J84,"-",K84,"-",L84,"-",M84)</f>
        <v>7909-1938-0313-5078</v>
      </c>
      <c r="H84" s="3" t="s">
        <v>264</v>
      </c>
      <c r="I84" t="s">
        <v>200</v>
      </c>
      <c r="J84" s="11" t="s">
        <v>120</v>
      </c>
      <c r="K84" s="11" t="s">
        <v>119</v>
      </c>
      <c r="L84" s="10" t="s">
        <v>4</v>
      </c>
      <c r="M84" s="10" t="s">
        <v>5</v>
      </c>
      <c r="O84" s="18">
        <f>LEN(H84)</f>
        <v>11</v>
      </c>
      <c r="P84" t="s">
        <v>287</v>
      </c>
    </row>
    <row r="85" spans="1:20" x14ac:dyDescent="0.3">
      <c r="A85" s="14">
        <v>11</v>
      </c>
      <c r="B85">
        <v>4544</v>
      </c>
      <c r="C85" t="s">
        <v>138</v>
      </c>
      <c r="D85" s="9">
        <v>26411012700472</v>
      </c>
      <c r="E85" s="5">
        <v>20000</v>
      </c>
      <c r="F85" s="5">
        <v>18</v>
      </c>
      <c r="G85" s="12" t="str">
        <f>CONCATENATE(J85,"-",K85,"-",L85,"-",M85)</f>
        <v>8087-4686-0313-5078</v>
      </c>
      <c r="H85" s="3" t="s">
        <v>209</v>
      </c>
      <c r="I85" t="s">
        <v>210</v>
      </c>
      <c r="J85" s="11" t="s">
        <v>39</v>
      </c>
      <c r="K85" s="11" t="s">
        <v>38</v>
      </c>
      <c r="L85" s="10" t="s">
        <v>4</v>
      </c>
      <c r="M85" s="10" t="s">
        <v>5</v>
      </c>
      <c r="O85" s="18">
        <f>LEN(H85)</f>
        <v>11</v>
      </c>
      <c r="P85" t="s">
        <v>288</v>
      </c>
    </row>
    <row r="86" spans="1:20" x14ac:dyDescent="0.3">
      <c r="A86" s="14">
        <v>13</v>
      </c>
      <c r="B86">
        <v>4731</v>
      </c>
      <c r="C86" t="s">
        <v>140</v>
      </c>
      <c r="D86" s="9">
        <v>27111052700319</v>
      </c>
      <c r="E86" s="5">
        <v>20000</v>
      </c>
      <c r="F86" s="5">
        <v>18</v>
      </c>
      <c r="G86" s="12" t="str">
        <f>CONCATENATE(J86,"-",K86,"-",L86,"-",M86)</f>
        <v>8375-0131-0313-5078</v>
      </c>
      <c r="H86" s="3" t="s">
        <v>212</v>
      </c>
      <c r="I86" t="s">
        <v>200</v>
      </c>
      <c r="J86" s="11" t="s">
        <v>17</v>
      </c>
      <c r="K86" s="11" t="s">
        <v>42</v>
      </c>
      <c r="L86" s="10" t="s">
        <v>4</v>
      </c>
      <c r="M86" s="10" t="s">
        <v>5</v>
      </c>
      <c r="O86" s="18">
        <f>LEN(H86)</f>
        <v>11</v>
      </c>
      <c r="P86" t="s">
        <v>288</v>
      </c>
    </row>
    <row r="87" spans="1:20" x14ac:dyDescent="0.3">
      <c r="A87" s="14">
        <v>19</v>
      </c>
      <c r="B87">
        <v>5675</v>
      </c>
      <c r="C87" t="s">
        <v>146</v>
      </c>
      <c r="D87" s="9">
        <v>28508102701029</v>
      </c>
      <c r="E87" s="5">
        <v>20000</v>
      </c>
      <c r="F87" s="5">
        <v>18</v>
      </c>
      <c r="G87" s="12" t="str">
        <f>CONCATENATE(J87,"-",K87,"-",L87,"-",M87)</f>
        <v>6652-4594-0313-5078</v>
      </c>
      <c r="H87" s="3" t="s">
        <v>220</v>
      </c>
      <c r="I87" t="s">
        <v>197</v>
      </c>
      <c r="J87" s="11" t="s">
        <v>52</v>
      </c>
      <c r="K87" s="11" t="s">
        <v>51</v>
      </c>
      <c r="L87" s="10" t="s">
        <v>4</v>
      </c>
      <c r="M87" s="10" t="s">
        <v>5</v>
      </c>
      <c r="O87" s="18">
        <f>LEN(H87)</f>
        <v>11</v>
      </c>
      <c r="P87" t="s">
        <v>288</v>
      </c>
    </row>
    <row r="88" spans="1:20" x14ac:dyDescent="0.3">
      <c r="A88" s="14">
        <v>38</v>
      </c>
      <c r="B88">
        <v>5695</v>
      </c>
      <c r="C88" t="s">
        <v>165</v>
      </c>
      <c r="D88" s="9">
        <v>29609142700828</v>
      </c>
      <c r="E88" s="5">
        <v>20000</v>
      </c>
      <c r="F88" s="5">
        <v>18</v>
      </c>
      <c r="G88" s="12" t="str">
        <f>CONCATENATE(J88,"-",K88,"-",L88,"-",M88)</f>
        <v>0960-4495-0313-5078</v>
      </c>
      <c r="H88" s="3" t="s">
        <v>240</v>
      </c>
      <c r="I88" t="s">
        <v>210</v>
      </c>
      <c r="J88" s="11" t="s">
        <v>78</v>
      </c>
      <c r="K88" s="11" t="s">
        <v>77</v>
      </c>
      <c r="L88" s="10" t="s">
        <v>4</v>
      </c>
      <c r="M88" s="10" t="s">
        <v>5</v>
      </c>
      <c r="O88" s="18">
        <f>LEN(H88)</f>
        <v>11</v>
      </c>
      <c r="P88" t="s">
        <v>288</v>
      </c>
    </row>
    <row r="89" spans="1:20" x14ac:dyDescent="0.3">
      <c r="A89" s="14">
        <v>43</v>
      </c>
      <c r="B89">
        <v>5700</v>
      </c>
      <c r="C89" t="s">
        <v>170</v>
      </c>
      <c r="D89" s="9">
        <v>28001212701191</v>
      </c>
      <c r="E89" s="5">
        <v>20000</v>
      </c>
      <c r="F89" s="5">
        <v>18</v>
      </c>
      <c r="G89" s="12" t="str">
        <f>CONCATENATE(J89,"-",K89,"-",L89,"-",M89)</f>
        <v>6302-0802-0313-5078</v>
      </c>
      <c r="H89" s="3" t="s">
        <v>410</v>
      </c>
      <c r="I89" t="s">
        <v>210</v>
      </c>
      <c r="J89" s="11" t="s">
        <v>88</v>
      </c>
      <c r="K89" s="11" t="s">
        <v>87</v>
      </c>
      <c r="L89" s="10" t="s">
        <v>4</v>
      </c>
      <c r="M89" s="10" t="s">
        <v>5</v>
      </c>
      <c r="O89" s="18">
        <f>LEN(H89)</f>
        <v>11</v>
      </c>
      <c r="P89" t="s">
        <v>288</v>
      </c>
    </row>
    <row r="90" spans="1:20" x14ac:dyDescent="0.3">
      <c r="A90" s="14">
        <v>45</v>
      </c>
      <c r="B90">
        <v>5702</v>
      </c>
      <c r="C90" t="s">
        <v>172</v>
      </c>
      <c r="D90" s="9">
        <v>28510162700964</v>
      </c>
      <c r="E90" s="5">
        <v>20000</v>
      </c>
      <c r="F90" s="5">
        <v>18</v>
      </c>
      <c r="G90" s="12" t="str">
        <f>CONCATENATE(J90,"-",K90,"-",L90,"-",M90)</f>
        <v>7688-8757-0313-5078</v>
      </c>
      <c r="H90" s="3" t="s">
        <v>246</v>
      </c>
      <c r="I90" t="s">
        <v>204</v>
      </c>
      <c r="J90" s="11" t="s">
        <v>92</v>
      </c>
      <c r="K90" s="11" t="s">
        <v>91</v>
      </c>
      <c r="L90" s="10" t="s">
        <v>4</v>
      </c>
      <c r="M90" s="10" t="s">
        <v>5</v>
      </c>
      <c r="O90" s="18">
        <f>LEN(H90)</f>
        <v>11</v>
      </c>
      <c r="P90" t="s">
        <v>288</v>
      </c>
    </row>
    <row r="91" spans="1:20" x14ac:dyDescent="0.3">
      <c r="A91" s="14">
        <v>66</v>
      </c>
      <c r="B91">
        <v>5725</v>
      </c>
      <c r="C91" t="s">
        <v>193</v>
      </c>
      <c r="D91" s="9">
        <v>30204292700937</v>
      </c>
      <c r="E91" s="5">
        <v>20000</v>
      </c>
      <c r="F91" s="5">
        <v>18</v>
      </c>
      <c r="G91" s="12" t="str">
        <f>CONCATENATE(J91,"-",K91,"-",L91,"-",M91)</f>
        <v>2137-6114-0313-5078</v>
      </c>
      <c r="H91" s="3" t="s">
        <v>266</v>
      </c>
      <c r="I91" t="s">
        <v>204</v>
      </c>
      <c r="J91" s="11" t="s">
        <v>124</v>
      </c>
      <c r="K91" s="11" t="s">
        <v>123</v>
      </c>
      <c r="L91" s="10" t="s">
        <v>4</v>
      </c>
      <c r="M91" s="10" t="s">
        <v>5</v>
      </c>
      <c r="O91" s="18">
        <f>LEN(H91)</f>
        <v>11</v>
      </c>
      <c r="P91" t="s">
        <v>288</v>
      </c>
    </row>
    <row r="92" spans="1:20" x14ac:dyDescent="0.3">
      <c r="A92" s="14">
        <v>67</v>
      </c>
      <c r="B92">
        <v>5726</v>
      </c>
      <c r="C92" t="s">
        <v>194</v>
      </c>
      <c r="D92" s="9">
        <v>29901252702934</v>
      </c>
      <c r="E92" s="5">
        <v>20000</v>
      </c>
      <c r="F92" s="5">
        <v>18</v>
      </c>
      <c r="G92" s="12" t="str">
        <f>CONCATENATE(J92,"-",K92,"-",L92,"-",M92)</f>
        <v>3913-0081-0313-5078</v>
      </c>
      <c r="H92" s="3" t="s">
        <v>267</v>
      </c>
      <c r="I92" t="s">
        <v>215</v>
      </c>
      <c r="J92" s="11" t="s">
        <v>126</v>
      </c>
      <c r="K92" s="11" t="s">
        <v>125</v>
      </c>
      <c r="L92" s="10" t="s">
        <v>4</v>
      </c>
      <c r="M92" s="10" t="s">
        <v>5</v>
      </c>
      <c r="O92" s="18">
        <f>LEN(H92)</f>
        <v>11</v>
      </c>
      <c r="P92" t="s">
        <v>288</v>
      </c>
    </row>
    <row r="93" spans="1:20" x14ac:dyDescent="0.3">
      <c r="A93" s="14"/>
      <c r="B93">
        <v>3391</v>
      </c>
      <c r="C93" t="s">
        <v>300</v>
      </c>
      <c r="D93" s="9">
        <v>28907302700843</v>
      </c>
      <c r="E93" s="5">
        <v>29000</v>
      </c>
      <c r="F93" s="5">
        <v>18</v>
      </c>
      <c r="G93" s="12" t="str">
        <f>CONCATENATE(J93,"-",K93,"-",L93,"-",M93)</f>
        <v>3895-7047-0313-5078</v>
      </c>
      <c r="H93" s="3" t="s">
        <v>328</v>
      </c>
      <c r="I93" t="s">
        <v>204</v>
      </c>
      <c r="J93" s="11" t="s">
        <v>352</v>
      </c>
      <c r="K93" s="11" t="s">
        <v>353</v>
      </c>
      <c r="L93" s="10" t="s">
        <v>4</v>
      </c>
      <c r="M93" s="10" t="s">
        <v>5</v>
      </c>
      <c r="O93" s="18">
        <f>LEN(H93)</f>
        <v>11</v>
      </c>
      <c r="P93" t="s">
        <v>399</v>
      </c>
    </row>
    <row r="94" spans="1:20" x14ac:dyDescent="0.3">
      <c r="A94" s="14"/>
      <c r="B94">
        <v>3762</v>
      </c>
      <c r="C94" t="s">
        <v>301</v>
      </c>
      <c r="D94" s="9">
        <v>26512162701176</v>
      </c>
      <c r="E94" s="5">
        <v>29000</v>
      </c>
      <c r="F94" s="5">
        <v>18</v>
      </c>
      <c r="G94" s="12" t="str">
        <f>CONCATENATE(J94,"-",K94,"-",L94,"-",M94)</f>
        <v>5381-2663-0313-5078</v>
      </c>
      <c r="H94" s="3" t="s">
        <v>329</v>
      </c>
      <c r="I94" t="s">
        <v>210</v>
      </c>
      <c r="J94" s="11" t="s">
        <v>354</v>
      </c>
      <c r="K94" s="11" t="s">
        <v>355</v>
      </c>
      <c r="L94" s="10" t="s">
        <v>4</v>
      </c>
      <c r="M94" s="10" t="s">
        <v>5</v>
      </c>
      <c r="O94" s="18">
        <f>LEN(H94)</f>
        <v>11</v>
      </c>
      <c r="P94" t="s">
        <v>399</v>
      </c>
    </row>
    <row r="95" spans="1:20" x14ac:dyDescent="0.3">
      <c r="A95" s="14"/>
      <c r="B95">
        <v>4540</v>
      </c>
      <c r="C95" t="s">
        <v>306</v>
      </c>
      <c r="D95" s="9">
        <v>29211242700627</v>
      </c>
      <c r="E95" s="5">
        <v>29000</v>
      </c>
      <c r="F95" s="5">
        <v>18</v>
      </c>
      <c r="G95" s="12" t="str">
        <f>CONCATENATE(J95,"-",K95,"-",L95,"-",M95)</f>
        <v>6243-4913-0313-5078</v>
      </c>
      <c r="H95" s="3" t="s">
        <v>334</v>
      </c>
      <c r="I95" t="s">
        <v>233</v>
      </c>
      <c r="J95" s="11" t="s">
        <v>364</v>
      </c>
      <c r="K95" s="11" t="s">
        <v>365</v>
      </c>
      <c r="L95" s="10" t="s">
        <v>4</v>
      </c>
      <c r="M95" s="10" t="s">
        <v>5</v>
      </c>
      <c r="O95" s="18">
        <f>LEN(H95)</f>
        <v>11</v>
      </c>
      <c r="P95" t="s">
        <v>399</v>
      </c>
    </row>
    <row r="96" spans="1:20" x14ac:dyDescent="0.3">
      <c r="A96" s="14"/>
      <c r="B96">
        <v>4979</v>
      </c>
      <c r="C96" t="s">
        <v>310</v>
      </c>
      <c r="D96" s="9">
        <v>27302202700517</v>
      </c>
      <c r="E96" s="5">
        <v>29000</v>
      </c>
      <c r="F96" s="5">
        <v>18</v>
      </c>
      <c r="G96" s="12" t="str">
        <f>CONCATENATE(J96,"-",K96,"-",L96,"-",M96)</f>
        <v>7064-6151-0313-5078</v>
      </c>
      <c r="H96" s="3" t="s">
        <v>338</v>
      </c>
      <c r="I96" t="s">
        <v>233</v>
      </c>
      <c r="J96" s="11" t="s">
        <v>409</v>
      </c>
      <c r="K96" s="11" t="s">
        <v>379</v>
      </c>
      <c r="L96" s="10" t="s">
        <v>4</v>
      </c>
      <c r="M96" s="10" t="s">
        <v>5</v>
      </c>
      <c r="O96" s="18">
        <f>LEN(H96)</f>
        <v>11</v>
      </c>
      <c r="P96" t="s">
        <v>399</v>
      </c>
    </row>
    <row r="97" spans="1:16" x14ac:dyDescent="0.3">
      <c r="A97" s="14"/>
      <c r="B97">
        <v>5664</v>
      </c>
      <c r="C97" t="s">
        <v>311</v>
      </c>
      <c r="D97" s="9">
        <v>27401232700935</v>
      </c>
      <c r="E97" s="5">
        <v>20000</v>
      </c>
      <c r="F97" s="5">
        <v>18</v>
      </c>
      <c r="G97" s="12" t="str">
        <f>CONCATENATE(J97,"-",K97,"-",L97,"-",M97)</f>
        <v>6526-8664-0313-5078</v>
      </c>
      <c r="H97" s="3" t="s">
        <v>339</v>
      </c>
      <c r="I97" t="s">
        <v>197</v>
      </c>
      <c r="J97" s="11" t="s">
        <v>372</v>
      </c>
      <c r="K97" s="11" t="s">
        <v>373</v>
      </c>
      <c r="L97" s="10" t="s">
        <v>4</v>
      </c>
      <c r="M97" s="10" t="s">
        <v>5</v>
      </c>
      <c r="O97" s="18">
        <f>LEN(H97)</f>
        <v>11</v>
      </c>
      <c r="P97" t="s">
        <v>399</v>
      </c>
    </row>
    <row r="98" spans="1:16" x14ac:dyDescent="0.3">
      <c r="A98" s="14"/>
      <c r="B98">
        <v>5728</v>
      </c>
      <c r="C98" t="s">
        <v>313</v>
      </c>
      <c r="D98" s="9">
        <v>29207012700892</v>
      </c>
      <c r="E98" s="5">
        <v>20000</v>
      </c>
      <c r="F98" s="5">
        <v>18</v>
      </c>
      <c r="G98" s="12" t="str">
        <f>CONCATENATE(J98,"-",K98,"-",L98,"-",M98)</f>
        <v>5650-0737-0313-5078</v>
      </c>
      <c r="H98" s="3" t="s">
        <v>408</v>
      </c>
      <c r="I98" t="s">
        <v>200</v>
      </c>
      <c r="J98" s="11" t="s">
        <v>376</v>
      </c>
      <c r="K98" s="11" t="s">
        <v>377</v>
      </c>
      <c r="L98" s="10" t="s">
        <v>4</v>
      </c>
      <c r="M98" s="10" t="s">
        <v>5</v>
      </c>
      <c r="O98" s="18">
        <f>LEN(H98)</f>
        <v>11</v>
      </c>
      <c r="P98" t="s">
        <v>399</v>
      </c>
    </row>
    <row r="99" spans="1:16" x14ac:dyDescent="0.3">
      <c r="A99" s="14"/>
      <c r="B99">
        <v>5730</v>
      </c>
      <c r="C99" t="s">
        <v>315</v>
      </c>
      <c r="D99" s="9">
        <v>29902062704813</v>
      </c>
      <c r="E99" s="5">
        <v>10000</v>
      </c>
      <c r="F99" s="5">
        <v>18</v>
      </c>
      <c r="G99" s="12" t="str">
        <f>CONCATENATE(J99,"-",K99,"-",L99,"-",M99)</f>
        <v>9949-6950-0313-5078</v>
      </c>
      <c r="H99" s="3" t="s">
        <v>407</v>
      </c>
      <c r="I99" t="s">
        <v>200</v>
      </c>
      <c r="J99" s="11" t="s">
        <v>380</v>
      </c>
      <c r="K99" s="11" t="s">
        <v>381</v>
      </c>
      <c r="L99" s="10" t="s">
        <v>4</v>
      </c>
      <c r="M99" s="10" t="s">
        <v>5</v>
      </c>
      <c r="O99" s="18">
        <f>LEN(H99)</f>
        <v>11</v>
      </c>
      <c r="P99" t="s">
        <v>399</v>
      </c>
    </row>
    <row r="100" spans="1:16" x14ac:dyDescent="0.3">
      <c r="A100" s="14"/>
      <c r="B100">
        <v>5731</v>
      </c>
      <c r="C100" t="s">
        <v>316</v>
      </c>
      <c r="D100" s="9">
        <v>27603092701253</v>
      </c>
      <c r="E100" s="5">
        <v>20000</v>
      </c>
      <c r="F100" s="5">
        <v>18</v>
      </c>
      <c r="G100" s="12" t="str">
        <f>CONCATENATE(J100,"-",K100,"-",L100,"-",M100)</f>
        <v>5148-3202-0313-5078</v>
      </c>
      <c r="H100" s="3" t="s">
        <v>401</v>
      </c>
      <c r="I100" t="s">
        <v>202</v>
      </c>
      <c r="J100" s="11" t="s">
        <v>382</v>
      </c>
      <c r="K100" s="11" t="s">
        <v>383</v>
      </c>
      <c r="L100" s="10" t="s">
        <v>4</v>
      </c>
      <c r="M100" s="10" t="s">
        <v>5</v>
      </c>
      <c r="O100" s="18">
        <f>LEN(H100)</f>
        <v>11</v>
      </c>
      <c r="P100" t="s">
        <v>399</v>
      </c>
    </row>
    <row r="101" spans="1:16" x14ac:dyDescent="0.3">
      <c r="B101">
        <v>5734</v>
      </c>
      <c r="C101" t="s">
        <v>319</v>
      </c>
      <c r="D101" s="9">
        <v>29507012703097</v>
      </c>
      <c r="E101" s="5">
        <v>20000</v>
      </c>
      <c r="F101" s="5">
        <v>18</v>
      </c>
      <c r="G101" s="12" t="str">
        <f>CONCATENATE(J101,"-",K101,"-",L101,"-",M101)</f>
        <v>9056-5779-0313-5078</v>
      </c>
      <c r="H101" s="3" t="s">
        <v>403</v>
      </c>
      <c r="I101" t="s">
        <v>200</v>
      </c>
      <c r="J101" s="11" t="s">
        <v>387</v>
      </c>
      <c r="K101" s="11" t="s">
        <v>388</v>
      </c>
      <c r="L101" s="10" t="s">
        <v>4</v>
      </c>
      <c r="M101" s="10" t="s">
        <v>5</v>
      </c>
      <c r="O101" s="18">
        <f>LEN(H101)</f>
        <v>11</v>
      </c>
      <c r="P101" t="s">
        <v>399</v>
      </c>
    </row>
    <row r="102" spans="1:16" x14ac:dyDescent="0.3">
      <c r="B102">
        <v>5742</v>
      </c>
      <c r="C102" s="20" t="s">
        <v>421</v>
      </c>
      <c r="D102" s="21">
        <v>28612222701482</v>
      </c>
      <c r="E102" s="22">
        <v>20000</v>
      </c>
      <c r="F102" s="22">
        <v>18</v>
      </c>
      <c r="G102" s="12" t="str">
        <f>CONCATENATE(J102,"-",K102,"-",L102,"-",M102)</f>
        <v>3792-3230-0313-5078</v>
      </c>
      <c r="H102" s="3" t="s">
        <v>436</v>
      </c>
      <c r="I102" t="s">
        <v>202</v>
      </c>
      <c r="J102" s="11" t="s">
        <v>453</v>
      </c>
      <c r="K102" s="11" t="s">
        <v>454</v>
      </c>
      <c r="L102" s="10" t="s">
        <v>4</v>
      </c>
      <c r="M102" s="10" t="s">
        <v>5</v>
      </c>
      <c r="O102" s="18">
        <f>LEN(H102)</f>
        <v>11</v>
      </c>
      <c r="P102" t="s">
        <v>479</v>
      </c>
    </row>
    <row r="103" spans="1:16" x14ac:dyDescent="0.3">
      <c r="B103">
        <v>5743</v>
      </c>
      <c r="C103" s="20" t="s">
        <v>422</v>
      </c>
      <c r="D103" s="21">
        <v>28706272700244</v>
      </c>
      <c r="E103" s="22">
        <v>10000</v>
      </c>
      <c r="F103" s="22">
        <v>12</v>
      </c>
      <c r="G103" s="12" t="str">
        <f>CONCATENATE(J103,"-",K103,"-",L103,"-",M103)</f>
        <v>2758-2012-0313-5078</v>
      </c>
      <c r="H103" s="3" t="s">
        <v>437</v>
      </c>
      <c r="I103" t="s">
        <v>200</v>
      </c>
      <c r="J103" s="11" t="s">
        <v>455</v>
      </c>
      <c r="K103" s="11" t="s">
        <v>456</v>
      </c>
      <c r="L103" s="10" t="s">
        <v>4</v>
      </c>
      <c r="M103" s="10" t="s">
        <v>5</v>
      </c>
      <c r="O103" s="18">
        <f>LEN(H103)</f>
        <v>11</v>
      </c>
      <c r="P103" t="s">
        <v>479</v>
      </c>
    </row>
    <row r="104" spans="1:16" x14ac:dyDescent="0.3">
      <c r="B104">
        <v>5748</v>
      </c>
      <c r="C104" s="20" t="s">
        <v>426</v>
      </c>
      <c r="D104" s="21">
        <v>28509282702059</v>
      </c>
      <c r="E104" s="22">
        <v>20000</v>
      </c>
      <c r="F104" s="22">
        <v>12</v>
      </c>
      <c r="G104" s="12" t="str">
        <f>CONCATENATE(J104,"-",K104,"-",L104,"-",M104)</f>
        <v>8319-3258-0313-5078</v>
      </c>
      <c r="H104" s="3" t="s">
        <v>441</v>
      </c>
      <c r="I104" t="s">
        <v>197</v>
      </c>
      <c r="J104" s="11" t="s">
        <v>463</v>
      </c>
      <c r="K104" s="11" t="s">
        <v>464</v>
      </c>
      <c r="L104" s="10" t="s">
        <v>4</v>
      </c>
      <c r="M104" s="10" t="s">
        <v>5</v>
      </c>
      <c r="O104" s="18">
        <f>LEN(H104)</f>
        <v>11</v>
      </c>
      <c r="P104" t="s">
        <v>479</v>
      </c>
    </row>
    <row r="105" spans="1:16" x14ac:dyDescent="0.3">
      <c r="B105">
        <v>5749</v>
      </c>
      <c r="C105" s="20" t="s">
        <v>427</v>
      </c>
      <c r="D105" s="21">
        <v>29911212700772</v>
      </c>
      <c r="E105" s="22">
        <v>20000</v>
      </c>
      <c r="F105" s="22">
        <v>12</v>
      </c>
      <c r="G105" s="12" t="str">
        <f>CONCATENATE(J105,"-",K105,"-",L105,"-",M105)</f>
        <v>8492-0378-0313-5078</v>
      </c>
      <c r="H105" s="3" t="s">
        <v>442</v>
      </c>
      <c r="I105" t="s">
        <v>202</v>
      </c>
      <c r="J105" s="11" t="s">
        <v>465</v>
      </c>
      <c r="K105" s="11" t="s">
        <v>466</v>
      </c>
      <c r="L105" s="10" t="s">
        <v>4</v>
      </c>
      <c r="M105" s="10" t="s">
        <v>5</v>
      </c>
      <c r="O105" s="18">
        <f>LEN(H105)</f>
        <v>11</v>
      </c>
      <c r="P105" t="s">
        <v>479</v>
      </c>
    </row>
    <row r="106" spans="1:16" x14ac:dyDescent="0.3">
      <c r="B106">
        <v>5750</v>
      </c>
      <c r="C106" s="20" t="s">
        <v>428</v>
      </c>
      <c r="D106" s="21">
        <v>28507112702116</v>
      </c>
      <c r="E106" s="22">
        <v>20000</v>
      </c>
      <c r="F106" s="22">
        <v>18</v>
      </c>
      <c r="G106" s="12" t="str">
        <f>CONCATENATE(J106,"-",K106,"-",L106,"-",M106)</f>
        <v>0978-8603-0313-5078</v>
      </c>
      <c r="H106" s="3" t="s">
        <v>443</v>
      </c>
      <c r="I106" t="s">
        <v>202</v>
      </c>
      <c r="J106" s="11" t="s">
        <v>467</v>
      </c>
      <c r="K106" s="11" t="s">
        <v>468</v>
      </c>
      <c r="L106" s="10" t="s">
        <v>4</v>
      </c>
      <c r="M106" s="10" t="s">
        <v>5</v>
      </c>
      <c r="O106" s="18">
        <f>LEN(H106)</f>
        <v>11</v>
      </c>
      <c r="P106" t="s">
        <v>479</v>
      </c>
    </row>
    <row r="107" spans="1:16" x14ac:dyDescent="0.3">
      <c r="B107">
        <v>5751</v>
      </c>
      <c r="C107" s="20" t="s">
        <v>429</v>
      </c>
      <c r="D107" s="21">
        <v>29509162700838</v>
      </c>
      <c r="E107" s="22">
        <v>15000</v>
      </c>
      <c r="F107" s="22">
        <v>18</v>
      </c>
      <c r="G107" s="12" t="str">
        <f>CONCATENATE(J107,"-",K107,"-",L107,"-",M107)</f>
        <v>9089-0664-0313-5078</v>
      </c>
      <c r="H107" s="3" t="s">
        <v>444</v>
      </c>
      <c r="I107" t="s">
        <v>215</v>
      </c>
      <c r="J107" s="11" t="s">
        <v>469</v>
      </c>
      <c r="K107" s="11" t="s">
        <v>470</v>
      </c>
      <c r="L107" s="10" t="s">
        <v>4</v>
      </c>
      <c r="M107" s="10" t="s">
        <v>5</v>
      </c>
      <c r="O107" s="18">
        <f>LEN(H107)</f>
        <v>11</v>
      </c>
      <c r="P107" t="s">
        <v>479</v>
      </c>
    </row>
    <row r="108" spans="1:16" x14ac:dyDescent="0.3">
      <c r="B108">
        <v>5752</v>
      </c>
      <c r="C108" s="20" t="s">
        <v>430</v>
      </c>
      <c r="D108" s="21">
        <v>28906012701378</v>
      </c>
      <c r="E108" s="22">
        <v>20000</v>
      </c>
      <c r="F108" s="22">
        <v>18</v>
      </c>
      <c r="G108" s="12" t="str">
        <f>CONCATENATE(J108,"-",K108,"-",L108,"-",M108)</f>
        <v>4515-3143-0313-5078</v>
      </c>
      <c r="H108" s="3" t="s">
        <v>445</v>
      </c>
      <c r="I108" t="s">
        <v>202</v>
      </c>
      <c r="J108" s="11" t="s">
        <v>471</v>
      </c>
      <c r="K108" s="11" t="s">
        <v>472</v>
      </c>
      <c r="L108" s="10" t="s">
        <v>4</v>
      </c>
      <c r="M108" s="10" t="s">
        <v>5</v>
      </c>
      <c r="O108" s="18">
        <f>LEN(H108)</f>
        <v>11</v>
      </c>
      <c r="P108" t="s">
        <v>479</v>
      </c>
    </row>
    <row r="109" spans="1:16" x14ac:dyDescent="0.3">
      <c r="B109">
        <v>5753</v>
      </c>
      <c r="C109" s="20" t="s">
        <v>431</v>
      </c>
      <c r="D109" s="21">
        <v>29711152701457</v>
      </c>
      <c r="E109" s="22">
        <v>20000</v>
      </c>
      <c r="F109" s="22">
        <v>18</v>
      </c>
      <c r="G109" s="12" t="str">
        <f>CONCATENATE(J109,"-",K109,"-",L109,"-",M109)</f>
        <v>0503-2295-0313-5078</v>
      </c>
      <c r="H109" s="3" t="s">
        <v>446</v>
      </c>
      <c r="I109" t="s">
        <v>202</v>
      </c>
      <c r="J109" s="11" t="s">
        <v>473</v>
      </c>
      <c r="K109" s="11" t="s">
        <v>474</v>
      </c>
      <c r="L109" s="10" t="s">
        <v>4</v>
      </c>
      <c r="M109" s="10" t="s">
        <v>5</v>
      </c>
      <c r="O109" s="18">
        <f>LEN(H109)</f>
        <v>11</v>
      </c>
      <c r="P109" t="s">
        <v>479</v>
      </c>
    </row>
    <row r="110" spans="1:16" x14ac:dyDescent="0.3">
      <c r="B110">
        <v>5754</v>
      </c>
      <c r="C110" s="20" t="s">
        <v>432</v>
      </c>
      <c r="D110" s="21">
        <v>27812072701042</v>
      </c>
      <c r="E110" s="22">
        <v>10000</v>
      </c>
      <c r="F110" s="22">
        <v>12</v>
      </c>
      <c r="G110" s="12" t="str">
        <f>CONCATENATE(J110,"-",K110,"-",L110,"-",M110)</f>
        <v>2317-3022-0313-5078</v>
      </c>
      <c r="H110" s="3" t="s">
        <v>447</v>
      </c>
      <c r="I110" t="s">
        <v>197</v>
      </c>
      <c r="J110" s="11" t="s">
        <v>475</v>
      </c>
      <c r="K110" s="11" t="s">
        <v>476</v>
      </c>
      <c r="L110" s="10" t="s">
        <v>4</v>
      </c>
      <c r="M110" s="10" t="s">
        <v>5</v>
      </c>
      <c r="O110" s="18">
        <f>LEN(H110)</f>
        <v>11</v>
      </c>
      <c r="P110" t="s">
        <v>479</v>
      </c>
    </row>
    <row r="111" spans="1:16" x14ac:dyDescent="0.3">
      <c r="B111">
        <v>5756</v>
      </c>
      <c r="C111" s="20" t="s">
        <v>433</v>
      </c>
      <c r="D111" s="21">
        <v>28603262700196</v>
      </c>
      <c r="E111" s="22">
        <v>10000</v>
      </c>
      <c r="F111" s="22">
        <v>12</v>
      </c>
      <c r="G111" s="12" t="str">
        <f>CONCATENATE(J111,"-",K111,"-",L111,"-",M111)</f>
        <v>4381-8713-0313-5078</v>
      </c>
      <c r="H111" s="3" t="s">
        <v>448</v>
      </c>
      <c r="I111" t="s">
        <v>215</v>
      </c>
      <c r="J111" s="11" t="s">
        <v>477</v>
      </c>
      <c r="K111" s="11" t="s">
        <v>478</v>
      </c>
      <c r="L111" s="10" t="s">
        <v>4</v>
      </c>
      <c r="M111" s="10" t="s">
        <v>5</v>
      </c>
      <c r="O111" s="18">
        <f>LEN(H111)</f>
        <v>11</v>
      </c>
      <c r="P111" t="s">
        <v>479</v>
      </c>
    </row>
  </sheetData>
  <autoFilter ref="A1:P1">
    <sortState ref="A2:P111">
      <sortCondition sortBy="cellColor" ref="B1" dxfId="0"/>
    </sortState>
  </autoFilter>
  <conditionalFormatting sqref="C1:C1048576">
    <cfRule type="duplicateValues" dxfId="11" priority="17"/>
  </conditionalFormatting>
  <conditionalFormatting sqref="B1:B1048576">
    <cfRule type="duplicateValues" dxfId="10" priority="16"/>
  </conditionalFormatting>
  <conditionalFormatting sqref="A2:M129">
    <cfRule type="expression" dxfId="9" priority="12">
      <formula>ROW()=CELL("row")</formula>
    </cfRule>
  </conditionalFormatting>
  <conditionalFormatting sqref="K1:K1048576">
    <cfRule type="duplicateValues" dxfId="8" priority="31"/>
  </conditionalFormatting>
  <conditionalFormatting sqref="J1:J1048576">
    <cfRule type="duplicateValues" dxfId="7" priority="39"/>
  </conditionalFormatting>
  <conditionalFormatting sqref="Q49:T49">
    <cfRule type="expression" dxfId="6" priority="4">
      <formula>ROW()=CELL("row")</formula>
    </cfRule>
  </conditionalFormatting>
  <conditionalFormatting sqref="R49">
    <cfRule type="duplicateValues" dxfId="5" priority="5"/>
  </conditionalFormatting>
  <conditionalFormatting sqref="Q49">
    <cfRule type="duplicateValues" dxfId="4" priority="6"/>
  </conditionalFormatting>
  <conditionalFormatting sqref="Q43:T43">
    <cfRule type="expression" dxfId="3" priority="1">
      <formula>ROW()=CELL("row")</formula>
    </cfRule>
  </conditionalFormatting>
  <conditionalFormatting sqref="R43">
    <cfRule type="duplicateValues" dxfId="2" priority="2"/>
  </conditionalFormatting>
  <conditionalFormatting sqref="Q43">
    <cfRule type="duplicateValues" dxfId="1" priority="3"/>
  </conditionalFormatting>
  <pageMargins left="0" right="0" top="0" bottom="0" header="0" footer="0"/>
  <pageSetup scale="11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2024-02-18T12:56:04Z</dcterms:modified>
</cp:coreProperties>
</file>