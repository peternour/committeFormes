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Miza_Cards\Miza_Daiy_Disburse\Miza_Recevied_Report\2024\"/>
    </mc:Choice>
  </mc:AlternateContent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Sheet1!$A$1:$N$66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2" i="1"/>
  <c r="G14" i="1"/>
  <c r="G7" i="1"/>
  <c r="G79" i="1"/>
  <c r="G80" i="1"/>
  <c r="G8" i="1"/>
  <c r="G3" i="1"/>
  <c r="G9" i="1"/>
  <c r="G10" i="1"/>
  <c r="G81" i="1"/>
  <c r="G4" i="1"/>
  <c r="G15" i="1"/>
  <c r="G16" i="1"/>
  <c r="G5" i="1"/>
  <c r="G11" i="1"/>
  <c r="G82" i="1"/>
  <c r="G20" i="1" l="1"/>
  <c r="G21" i="1"/>
  <c r="G25" i="1" l="1"/>
  <c r="G26" i="1"/>
  <c r="G27" i="1"/>
  <c r="G28" i="1"/>
  <c r="G29" i="1"/>
  <c r="G30" i="1"/>
  <c r="G31" i="1"/>
  <c r="G32" i="1"/>
  <c r="G17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12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13" i="1"/>
  <c r="G62" i="1"/>
  <c r="G63" i="1"/>
  <c r="G64" i="1"/>
  <c r="G65" i="1"/>
  <c r="G66" i="1"/>
  <c r="G67" i="1"/>
  <c r="G22" i="1"/>
  <c r="G68" i="1"/>
  <c r="G69" i="1"/>
  <c r="G70" i="1"/>
  <c r="G71" i="1"/>
  <c r="G72" i="1"/>
  <c r="G73" i="1"/>
  <c r="G18" i="1"/>
  <c r="G19" i="1"/>
  <c r="G74" i="1"/>
  <c r="G75" i="1"/>
  <c r="G76" i="1"/>
  <c r="G77" i="1"/>
  <c r="G78" i="1"/>
  <c r="G23" i="1" l="1"/>
  <c r="G24" i="1"/>
</calcChain>
</file>

<file path=xl/sharedStrings.xml><?xml version="1.0" encoding="utf-8"?>
<sst xmlns="http://schemas.openxmlformats.org/spreadsheetml/2006/main" count="687" uniqueCount="345">
  <si>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</si>
  <si>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</si>
  <si>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</si>
  <si>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</si>
  <si>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</si>
  <si>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</si>
  <si>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</si>
  <si>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</si>
  <si>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</si>
  <si>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</si>
  <si>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</si>
  <si>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</si>
  <si>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</si>
  <si>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</si>
  <si>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</si>
  <si>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</si>
  <si>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0515</t>
  </si>
  <si>
    <t>5526</t>
  </si>
  <si>
    <t>2165</t>
  </si>
  <si>
    <t>6440</t>
  </si>
  <si>
    <t>6686</t>
  </si>
  <si>
    <t>1772</t>
  </si>
  <si>
    <t>6452</t>
  </si>
  <si>
    <t>3200</t>
  </si>
  <si>
    <t>5203</t>
  </si>
  <si>
    <t>5688</t>
  </si>
  <si>
    <t>8932</t>
  </si>
  <si>
    <t>2703</t>
  </si>
  <si>
    <t>4691</t>
  </si>
  <si>
    <t>9468</t>
  </si>
  <si>
    <t>3624</t>
  </si>
  <si>
    <t>9272</t>
  </si>
  <si>
    <t>9271</t>
  </si>
  <si>
    <t>0019</t>
  </si>
  <si>
    <t>4436</t>
  </si>
  <si>
    <t>4550</t>
  </si>
  <si>
    <t>0714</t>
  </si>
  <si>
    <t>9584</t>
  </si>
  <si>
    <t>1565</t>
  </si>
  <si>
    <t>0862</t>
  </si>
  <si>
    <t>7778</t>
  </si>
  <si>
    <t>0508</t>
  </si>
  <si>
    <t>1187</t>
  </si>
  <si>
    <t>5208</t>
  </si>
  <si>
    <t>9472</t>
  </si>
  <si>
    <t>5965</t>
  </si>
  <si>
    <t>3858</t>
  </si>
  <si>
    <t>7828</t>
  </si>
  <si>
    <t>9167</t>
  </si>
  <si>
    <t>2061</t>
  </si>
  <si>
    <t>9236</t>
  </si>
  <si>
    <t>3736</t>
  </si>
  <si>
    <t>2290</t>
  </si>
  <si>
    <t>5148</t>
  </si>
  <si>
    <t>3674</t>
  </si>
  <si>
    <t>5188</t>
  </si>
  <si>
    <t>4153</t>
  </si>
  <si>
    <t>3184</t>
  </si>
  <si>
    <t>4044</t>
  </si>
  <si>
    <t>7027</t>
  </si>
  <si>
    <t>0267</t>
  </si>
  <si>
    <t>9457</t>
  </si>
  <si>
    <t>8851</t>
  </si>
  <si>
    <t>8972</t>
  </si>
  <si>
    <t>4205</t>
  </si>
  <si>
    <t>7160</t>
  </si>
  <si>
    <t>9281</t>
  </si>
  <si>
    <t>6594</t>
  </si>
  <si>
    <t>8182</t>
  </si>
  <si>
    <t>1155</t>
  </si>
  <si>
    <t>5735</t>
  </si>
  <si>
    <t>6569</t>
  </si>
  <si>
    <t>9967</t>
  </si>
  <si>
    <t>4495</t>
  </si>
  <si>
    <t>7106</t>
  </si>
  <si>
    <t>3580</t>
  </si>
  <si>
    <t>3178</t>
  </si>
  <si>
    <t>5178</t>
  </si>
  <si>
    <t>5085</t>
  </si>
  <si>
    <t>3366</t>
  </si>
  <si>
    <t>9746</t>
  </si>
  <si>
    <t>0219</t>
  </si>
  <si>
    <t>9865</t>
  </si>
  <si>
    <t>5972</t>
  </si>
  <si>
    <t>2122</t>
  </si>
  <si>
    <t>1803</t>
  </si>
  <si>
    <t>0906</t>
  </si>
  <si>
    <t>9496</t>
  </si>
  <si>
    <t>4325</t>
  </si>
  <si>
    <t>1421</t>
  </si>
  <si>
    <t>5097</t>
  </si>
  <si>
    <t>7492</t>
  </si>
  <si>
    <t>1261</t>
  </si>
  <si>
    <t>2691</t>
  </si>
  <si>
    <t>7646</t>
  </si>
  <si>
    <t>9673</t>
  </si>
  <si>
    <t>مني احمد سيد عبدالعزيز</t>
  </si>
  <si>
    <t>السيد احمد محمد احمد منصور</t>
  </si>
  <si>
    <t>راضي محمود الصاوي علي</t>
  </si>
  <si>
    <t>محمود محمد عبدالعال عبدالرحمن</t>
  </si>
  <si>
    <t>سالم احمد محمد احمد</t>
  </si>
  <si>
    <t>شنوده اسحق رزق الله فلسطين</t>
  </si>
  <si>
    <t>خالد سيد محمد حجاب</t>
  </si>
  <si>
    <t>رمضان قناوي محمد علي</t>
  </si>
  <si>
    <t>هناء عبدالعاطي عباس محمد</t>
  </si>
  <si>
    <t>مني نورالدين الراوي محمود</t>
  </si>
  <si>
    <t>حسن احمد محمد احمد</t>
  </si>
  <si>
    <t>محمود عبدالرازق عبدالشافي علي</t>
  </si>
  <si>
    <t>حماده محمود محمد امين</t>
  </si>
  <si>
    <t>ربيع محمد علي محمد</t>
  </si>
  <si>
    <t>مريم فوزي لبيب بولس ميخائيل</t>
  </si>
  <si>
    <t>ماهر ميخائيل انور توفيق</t>
  </si>
  <si>
    <t>رحمه محمد احمد حسين</t>
  </si>
  <si>
    <t>راضي عبدالعاطي عباس محمد</t>
  </si>
  <si>
    <t>محموده محمود احمد جاد</t>
  </si>
  <si>
    <t>عدلي عيد علي محمود</t>
  </si>
  <si>
    <t>مني محمد محمود محمد</t>
  </si>
  <si>
    <t>هبه عبدالباقي ابوزيد هريدي</t>
  </si>
  <si>
    <t>عزه ناجي محمد الراوي</t>
  </si>
  <si>
    <t>عيسوي محمد محمود ابوالحسن</t>
  </si>
  <si>
    <t>جمال علي صديق محمد</t>
  </si>
  <si>
    <t>عزيزه جابر بخيت احمد</t>
  </si>
  <si>
    <t>عادل عز محمد محمود</t>
  </si>
  <si>
    <t>نجوي ابراهيم الدسوقي ابوالمجد محمد</t>
  </si>
  <si>
    <t>شريهان رمضان حسن احمد</t>
  </si>
  <si>
    <t>السيد عنتر جلال حسين</t>
  </si>
  <si>
    <t>بخيته مبارك رمضان جادالكريم</t>
  </si>
  <si>
    <t>صبريه جابر طه مصطفي</t>
  </si>
  <si>
    <t>ليلي محمد خليل الجوهري</t>
  </si>
  <si>
    <t>ساره عبدالغفار عمر حسن</t>
  </si>
  <si>
    <t>اسعد امين جرس منقريوس</t>
  </si>
  <si>
    <t>تهاني السيد دسوقي محمد</t>
  </si>
  <si>
    <t>عبدالرحيم حماده فهمي حسانين</t>
  </si>
  <si>
    <t>محمد عبدالنبي محمد عرابي</t>
  </si>
  <si>
    <t>صفاء اسعد مكرم دكسيس</t>
  </si>
  <si>
    <t>صفاء خيري عمر محمد</t>
  </si>
  <si>
    <t>ارزاق ابوالفتوح محمد ابراهيم</t>
  </si>
  <si>
    <t>اكرام بدوي سيد علي</t>
  </si>
  <si>
    <t>نعيم الكسان نعيم ابراهيم</t>
  </si>
  <si>
    <t>حربي محمد محمد جاد</t>
  </si>
  <si>
    <t>تهاني عشري محمد السيد</t>
  </si>
  <si>
    <t>نعمه تغيان علي وزيري</t>
  </si>
  <si>
    <t>نسمه عبدالحفيظ علي حسن</t>
  </si>
  <si>
    <t>مصطفي شعبان عيسي قاسم</t>
  </si>
  <si>
    <t>مني عبدالوهاب محمد احمد</t>
  </si>
  <si>
    <t>زكيه احمد علي محمد</t>
  </si>
  <si>
    <t>محمود محمد عباس حسين</t>
  </si>
  <si>
    <t>خليفه فهمي خليفه عبدالحميد</t>
  </si>
  <si>
    <t>صفاء محمد احمد محمد</t>
  </si>
  <si>
    <t>حليمه حسن احمد غلاب</t>
  </si>
  <si>
    <t>رجاء ابوالوفا عبداللطيف عبدالوهاب</t>
  </si>
  <si>
    <t>سعاد محمد يوسف محمود</t>
  </si>
  <si>
    <t>دعاء محمد فاضل شمروخ</t>
  </si>
  <si>
    <t>محمود شحاته محمد خلف الله</t>
  </si>
  <si>
    <t>وليد شحاته محمد خلف الله</t>
  </si>
  <si>
    <t>اسراء حمدي توفيق حفني</t>
  </si>
  <si>
    <t>بسمه كرم فرج فاضل</t>
  </si>
  <si>
    <t>مبارك عبدالعظيم الصغير محمد</t>
  </si>
  <si>
    <t>محمود احمد علي محمود</t>
  </si>
  <si>
    <t>شعبان سليمان موسي محمد</t>
  </si>
  <si>
    <t>01091036077</t>
  </si>
  <si>
    <t>01000725289</t>
  </si>
  <si>
    <t>01221080171</t>
  </si>
  <si>
    <t>01063657770</t>
  </si>
  <si>
    <t>01024875301</t>
  </si>
  <si>
    <t>01202749145</t>
  </si>
  <si>
    <t>01067384782</t>
  </si>
  <si>
    <t>01097757429</t>
  </si>
  <si>
    <t>01121506129</t>
  </si>
  <si>
    <t>01064677492</t>
  </si>
  <si>
    <t>01022103476</t>
  </si>
  <si>
    <t>01093044465</t>
  </si>
  <si>
    <t>01061638744</t>
  </si>
  <si>
    <t>01008867786</t>
  </si>
  <si>
    <t>01211087814</t>
  </si>
  <si>
    <t>01203883358</t>
  </si>
  <si>
    <t>01099732516</t>
  </si>
  <si>
    <t>01141846813</t>
  </si>
  <si>
    <t>01148700843</t>
  </si>
  <si>
    <t>01009471072</t>
  </si>
  <si>
    <t>01066116347</t>
  </si>
  <si>
    <t>01097907977</t>
  </si>
  <si>
    <t>01013092177</t>
  </si>
  <si>
    <t>01010708138</t>
  </si>
  <si>
    <t>01024418388</t>
  </si>
  <si>
    <t>01010652584</t>
  </si>
  <si>
    <t>01153795231</t>
  </si>
  <si>
    <t>01007312252</t>
  </si>
  <si>
    <t>01550913835</t>
  </si>
  <si>
    <t>01008063689</t>
  </si>
  <si>
    <t>01029354812</t>
  </si>
  <si>
    <t>01094424950</t>
  </si>
  <si>
    <t>01027492954</t>
  </si>
  <si>
    <t>01146284032</t>
  </si>
  <si>
    <t>01099443279</t>
  </si>
  <si>
    <t>01023445313</t>
  </si>
  <si>
    <t>01033074174</t>
  </si>
  <si>
    <t>01028302430</t>
  </si>
  <si>
    <t>01220696422</t>
  </si>
  <si>
    <t>01068598789</t>
  </si>
  <si>
    <t>01026935116</t>
  </si>
  <si>
    <t>01028757770</t>
  </si>
  <si>
    <t>01285955317</t>
  </si>
  <si>
    <t>01092997684</t>
  </si>
  <si>
    <t>01032680560</t>
  </si>
  <si>
    <t>01123703541</t>
  </si>
  <si>
    <t>01062303910</t>
  </si>
  <si>
    <t>01116791379</t>
  </si>
  <si>
    <t>01151728015</t>
  </si>
  <si>
    <t>01060990462</t>
  </si>
  <si>
    <t>01158400302</t>
  </si>
  <si>
    <t>01111976493</t>
  </si>
  <si>
    <t>01005399875</t>
  </si>
  <si>
    <t>01020691636</t>
  </si>
  <si>
    <t>01127152345</t>
  </si>
  <si>
    <t>01128913613</t>
  </si>
  <si>
    <t>01124118564</t>
  </si>
  <si>
    <t>01015696843</t>
  </si>
  <si>
    <t>01014041925</t>
  </si>
  <si>
    <t>01015693790</t>
  </si>
  <si>
    <t>01102627815</t>
  </si>
  <si>
    <t>01144114874</t>
  </si>
  <si>
    <t>01143830935</t>
  </si>
  <si>
    <t>01015130166</t>
  </si>
  <si>
    <t>هدرا وحيد دكران</t>
  </si>
  <si>
    <t>ابانوب سعيد وصفى</t>
  </si>
  <si>
    <t>ابانوب عاطف سعدى</t>
  </si>
  <si>
    <t>اميل رفعت حبيب بساده</t>
  </si>
  <si>
    <t>نصحى مقار نصحى</t>
  </si>
  <si>
    <t>كيرلس عاطف ثابت</t>
  </si>
  <si>
    <t>مينا مخلف نسيم</t>
  </si>
  <si>
    <t>البنك الاهلى المصري</t>
  </si>
  <si>
    <t>ايدي في ايدك</t>
  </si>
  <si>
    <t>تمكين السيدات اجتماعياً واقتصادياً</t>
  </si>
  <si>
    <t>8315</t>
  </si>
  <si>
    <t>1751</t>
  </si>
  <si>
    <t>9888</t>
  </si>
  <si>
    <t>6433</t>
  </si>
  <si>
    <t>5847</t>
  </si>
  <si>
    <t>5151</t>
  </si>
  <si>
    <t>1120</t>
  </si>
  <si>
    <t>5547</t>
  </si>
  <si>
    <t>6144</t>
  </si>
  <si>
    <t>6868</t>
  </si>
  <si>
    <t>0320</t>
  </si>
  <si>
    <t>0907</t>
  </si>
  <si>
    <t>3122</t>
  </si>
  <si>
    <t>1147</t>
  </si>
  <si>
    <t>4862</t>
  </si>
  <si>
    <t>4144</t>
  </si>
  <si>
    <t>3171</t>
  </si>
  <si>
    <t>4102</t>
  </si>
  <si>
    <t>4938</t>
  </si>
  <si>
    <t>4854</t>
  </si>
  <si>
    <t>4946</t>
  </si>
  <si>
    <t>4847</t>
  </si>
  <si>
    <t>4870</t>
  </si>
  <si>
    <t>4128</t>
  </si>
  <si>
    <t>4896</t>
  </si>
  <si>
    <t>0423</t>
  </si>
  <si>
    <t>0213</t>
  </si>
  <si>
    <t>5732</t>
  </si>
  <si>
    <t>3667</t>
  </si>
  <si>
    <t>7717</t>
  </si>
  <si>
    <t>3126</t>
  </si>
  <si>
    <t>0523</t>
  </si>
  <si>
    <t>3000</t>
  </si>
  <si>
    <t>7579</t>
  </si>
  <si>
    <t>4949</t>
  </si>
  <si>
    <t>4285</t>
  </si>
  <si>
    <t>4727</t>
  </si>
  <si>
    <t>بركات عبدالنبي محمود محمد</t>
  </si>
  <si>
    <t>ناديه نادر نجيب سدره</t>
  </si>
  <si>
    <t>شيرين حمدي محمد احمد</t>
  </si>
  <si>
    <t>شعبان حسين ابراهيم يوسف</t>
  </si>
  <si>
    <t>شعبان زارع علي محمد</t>
  </si>
  <si>
    <t>علي زارع علي محمد</t>
  </si>
  <si>
    <t>صفاء محمد عبدالنبي محمود</t>
  </si>
  <si>
    <t>عبدالناصر دمرداش محمود عبدالرحيم</t>
  </si>
  <si>
    <t>يوسف اسعد ابوالوفا عبدالحافظ</t>
  </si>
  <si>
    <t>مينا منير لويز يوسف</t>
  </si>
  <si>
    <t>نجاح محمود احمد جاد</t>
  </si>
  <si>
    <t>رزيقي جرجس كامل غبريال</t>
  </si>
  <si>
    <t>سوزام سعيد زكي منقريوس</t>
  </si>
  <si>
    <t>جون جميل سامي جرس</t>
  </si>
  <si>
    <t>ايمان امير رمزي لطيف</t>
  </si>
  <si>
    <t>حسام عيسوي محمد محمود</t>
  </si>
  <si>
    <t>اسماء علي محمد حسن</t>
  </si>
  <si>
    <t>01063067639</t>
  </si>
  <si>
    <t>2211</t>
  </si>
  <si>
    <t>5818</t>
  </si>
  <si>
    <t>01287444203</t>
  </si>
  <si>
    <t>6698</t>
  </si>
  <si>
    <t>9243</t>
  </si>
  <si>
    <t>01000595365</t>
  </si>
  <si>
    <t>01067728166</t>
  </si>
  <si>
    <t>6508</t>
  </si>
  <si>
    <t>6058</t>
  </si>
  <si>
    <t>01091367249</t>
  </si>
  <si>
    <t>7556</t>
  </si>
  <si>
    <t>3658</t>
  </si>
  <si>
    <t>01099115350</t>
  </si>
  <si>
    <t>3334</t>
  </si>
  <si>
    <t>8929</t>
  </si>
  <si>
    <t>01094661393</t>
  </si>
  <si>
    <t>0743</t>
  </si>
  <si>
    <t>4135</t>
  </si>
  <si>
    <t>01063783376</t>
  </si>
  <si>
    <t>4094</t>
  </si>
  <si>
    <t>2698</t>
  </si>
  <si>
    <t>01015160877</t>
  </si>
  <si>
    <t>5198</t>
  </si>
  <si>
    <t>4670</t>
  </si>
  <si>
    <t>01014372165</t>
  </si>
  <si>
    <t>8514</t>
  </si>
  <si>
    <t>4168</t>
  </si>
  <si>
    <t>01121748226</t>
  </si>
  <si>
    <t>0239</t>
  </si>
  <si>
    <t>5471</t>
  </si>
  <si>
    <t>01223086664</t>
  </si>
  <si>
    <t>7137</t>
  </si>
  <si>
    <t>0611</t>
  </si>
  <si>
    <t>01275956041</t>
  </si>
  <si>
    <t>1092</t>
  </si>
  <si>
    <t>8644</t>
  </si>
  <si>
    <t>01228723372</t>
  </si>
  <si>
    <t>0192</t>
  </si>
  <si>
    <t>0568</t>
  </si>
  <si>
    <t>01204167759</t>
  </si>
  <si>
    <t>0654</t>
  </si>
  <si>
    <t>2870</t>
  </si>
  <si>
    <t>01003121838</t>
  </si>
  <si>
    <t>7296</t>
  </si>
  <si>
    <t>4677</t>
  </si>
  <si>
    <t>01016216935</t>
  </si>
  <si>
    <t>6410</t>
  </si>
  <si>
    <t>5966</t>
  </si>
  <si>
    <t>فرعية</t>
  </si>
  <si>
    <t>4151</t>
  </si>
  <si>
    <t>0188</t>
  </si>
  <si>
    <t>3147</t>
  </si>
  <si>
    <t>7576</t>
  </si>
  <si>
    <t>4355</t>
  </si>
  <si>
    <t>1881</t>
  </si>
  <si>
    <t>3111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</si>
</sst>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ont="1" applyBorder="1"/>
    <xf numFmtId="0" fontId="0" fillId="0" borderId="0" xfId="0" applyFont="1"/>
    <xf numFmtId="1" fontId="0" fillId="0" borderId="0" xfId="0" applyNumberFormat="1" applyFont="1" applyAlignment="1">
      <alignment readingOrder="1"/>
    </xf>
    <xf numFmtId="1" fontId="0" fillId="0" borderId="0" xfId="0" applyNumberFormat="1" applyFont="1" applyAlignment="1">
      <alignment readingOrder="2"/>
    </xf>
    <xf numFmtId="1" fontId="0" fillId="0" borderId="0" xfId="0" applyNumberFormat="1" applyFont="1" applyFill="1" applyAlignment="1"/>
  </cellXfs>
  <cellStyles count="1">
    <cellStyle name="Normal" xfId="0" builtinId="0"/>
  </cellStyles>
  <dxfs count="7"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6"/>
  <sheetViews>
    <sheetView rightToLeft="1" tabSelected="1" topLeftCell="A55" zoomScaleNormal="100" workbookViewId="0">
      <selection activeCell="A66" sqref="A66"/>
    </sheetView>
  </sheetViews>
  <sheetFormatPr defaultRowHeight="14.4" x14ac:dyDescent="0.3"/>
  <cols>
    <col min="1" max="1" width="4.109375" style="14" bestFit="1" customWidth="1"/>
    <col min="2" max="2" width="10.44140625" bestFit="1" customWidth="1"/>
    <col min="3" max="3" width="32.6640625" bestFit="1" customWidth="1"/>
    <col min="4" max="4" width="18.33203125" style="9" customWidth="1"/>
    <col min="5" max="5" width="12" style="5" bestFit="1" customWidth="1"/>
    <col min="6" max="6" width="7.21875" style="5" hidden="1" customWidth="1"/>
    <col min="7" max="7" width="24" style="7" customWidth="1"/>
    <col min="8" max="8" width="15.33203125" style="3" customWidth="1"/>
    <col min="9" max="9" width="19.33203125" customWidth="1"/>
    <col min="10" max="11" width="7.33203125" style="11" customWidth="1"/>
    <col min="12" max="12" width="7.33203125" style="10" customWidth="1"/>
    <col min="13" max="13" width="7.21875" style="10" bestFit="1" customWidth="1"/>
    <col min="14" max="14" width="23.33203125" bestFit="1" customWidth="1"/>
  </cols>
  <sheetData>
    <row r="1" spans="1:14" x14ac:dyDescent="0.3">
      <c r="A1" s="13" t="s">
        <v>6</v>
      </c>
      <c r="B1" s="1" t="s">
        <v>8</v>
      </c>
      <c r="C1" s="1" t="s">
        <v>0</v>
      </c>
      <c r="D1" s="8" t="s">
        <v>2</v>
      </c>
      <c r="E1" s="4" t="s">
        <v>13</v>
      </c>
      <c r="F1" s="4" t="s">
        <v>15</v>
      </c>
      <c r="G1" s="6" t="s">
        <v>1</v>
      </c>
      <c r="H1" s="2" t="s">
        <v>3</v>
      </c>
      <c r="I1" t="s">
        <v>7</v>
      </c>
      <c r="J1" s="11" t="s">
        <v>12</v>
      </c>
      <c r="K1" s="11" t="s">
        <v>11</v>
      </c>
      <c r="L1" s="10" t="s">
        <v>10</v>
      </c>
      <c r="M1" s="10" t="s">
        <v>9</v>
      </c>
      <c r="N1" t="s">
        <v>14</v>
      </c>
    </row>
    <row r="2" spans="1:14" x14ac:dyDescent="0.3">
      <c r="A2" s="14">
        <v>66</v>
      </c>
      <c r="B2">
        <v>4423</v>
      </c>
      <c r="C2" t="s">
        <v>272</v>
      </c>
      <c r="D2" s="9">
        <v>27104102800682</v>
      </c>
      <c r="E2" s="5">
        <v>10000</v>
      </c>
      <c r="F2" s="5">
        <v>18</v>
      </c>
      <c r="G2" s="12" t="str">
        <f t="shared" ref="G2:G33" si="0">CONCATENATE(M2,L2,K2,J2)</f>
        <v>5078031392436698</v>
      </c>
      <c r="H2" s="3" t="s">
        <v>291</v>
      </c>
      <c r="I2" t="s">
        <v>227</v>
      </c>
      <c r="J2" s="11" t="s">
        <v>292</v>
      </c>
      <c r="K2" s="11" t="s">
        <v>293</v>
      </c>
      <c r="L2" s="10" t="s">
        <v>4</v>
      </c>
      <c r="M2" s="10" t="s">
        <v>5</v>
      </c>
      <c r="N2" t="s">
        <v>231</v>
      </c>
    </row>
    <row r="3" spans="1:14" x14ac:dyDescent="0.3">
      <c r="A3" s="14">
        <v>72</v>
      </c>
      <c r="B3">
        <v>5992</v>
      </c>
      <c r="C3" t="s">
        <v>278</v>
      </c>
      <c r="D3" s="9">
        <v>28612302700193</v>
      </c>
      <c r="E3" s="5">
        <v>20000</v>
      </c>
      <c r="F3" s="5">
        <v>18</v>
      </c>
      <c r="G3" s="12" t="str">
        <f t="shared" si="0"/>
        <v>5078031326984094</v>
      </c>
      <c r="H3" s="3" t="s">
        <v>307</v>
      </c>
      <c r="I3" t="s">
        <v>224</v>
      </c>
      <c r="J3" s="11" t="s">
        <v>308</v>
      </c>
      <c r="K3" s="11" t="s">
        <v>309</v>
      </c>
      <c r="L3" s="10" t="s">
        <v>4</v>
      </c>
      <c r="M3" s="10" t="s">
        <v>5</v>
      </c>
      <c r="N3" t="s">
        <v>231</v>
      </c>
    </row>
    <row r="4" spans="1:14" x14ac:dyDescent="0.3">
      <c r="A4" s="14">
        <v>76</v>
      </c>
      <c r="B4">
        <v>5996</v>
      </c>
      <c r="C4" t="s">
        <v>282</v>
      </c>
      <c r="D4" s="9">
        <v>28703012702953</v>
      </c>
      <c r="E4" s="5">
        <v>15000</v>
      </c>
      <c r="F4" s="5">
        <v>12</v>
      </c>
      <c r="G4" s="12" t="str">
        <f t="shared" si="0"/>
        <v>5078031306117137</v>
      </c>
      <c r="H4" s="3" t="s">
        <v>319</v>
      </c>
      <c r="I4" t="s">
        <v>228</v>
      </c>
      <c r="J4" s="11" t="s">
        <v>320</v>
      </c>
      <c r="K4" s="11" t="s">
        <v>321</v>
      </c>
      <c r="L4" s="10" t="s">
        <v>4</v>
      </c>
      <c r="M4" s="10" t="s">
        <v>5</v>
      </c>
      <c r="N4" t="s">
        <v>231</v>
      </c>
    </row>
    <row r="5" spans="1:14" x14ac:dyDescent="0.3">
      <c r="A5" s="14">
        <v>79</v>
      </c>
      <c r="B5">
        <v>5999</v>
      </c>
      <c r="C5" t="s">
        <v>285</v>
      </c>
      <c r="D5" s="9">
        <v>29111202700948</v>
      </c>
      <c r="E5" s="5">
        <v>15000</v>
      </c>
      <c r="F5" s="5">
        <v>12</v>
      </c>
      <c r="G5" s="12" t="str">
        <f t="shared" si="0"/>
        <v>5078031328700654</v>
      </c>
      <c r="H5" s="3" t="s">
        <v>328</v>
      </c>
      <c r="I5" t="s">
        <v>228</v>
      </c>
      <c r="J5" s="11" t="s">
        <v>329</v>
      </c>
      <c r="K5" s="11" t="s">
        <v>330</v>
      </c>
      <c r="L5" s="10" t="s">
        <v>4</v>
      </c>
      <c r="M5" s="10" t="s">
        <v>5</v>
      </c>
      <c r="N5" t="s">
        <v>231</v>
      </c>
    </row>
    <row r="6" spans="1:14" x14ac:dyDescent="0.3">
      <c r="A6" s="14">
        <v>65</v>
      </c>
      <c r="B6">
        <v>2188</v>
      </c>
      <c r="C6" t="s">
        <v>271</v>
      </c>
      <c r="D6" s="9">
        <v>28101112700532</v>
      </c>
      <c r="E6" s="5">
        <v>20000</v>
      </c>
      <c r="F6" s="5">
        <v>18</v>
      </c>
      <c r="G6" s="12" t="str">
        <f t="shared" si="0"/>
        <v>5078031358182211</v>
      </c>
      <c r="H6" s="3" t="s">
        <v>288</v>
      </c>
      <c r="I6" t="s">
        <v>224</v>
      </c>
      <c r="J6" s="11" t="s">
        <v>289</v>
      </c>
      <c r="K6" s="11" t="s">
        <v>290</v>
      </c>
      <c r="L6" s="10" t="s">
        <v>4</v>
      </c>
      <c r="M6" s="10" t="s">
        <v>5</v>
      </c>
      <c r="N6" t="s">
        <v>231</v>
      </c>
    </row>
    <row r="7" spans="1:14" x14ac:dyDescent="0.3">
      <c r="A7" s="14">
        <v>68</v>
      </c>
      <c r="B7">
        <v>5819</v>
      </c>
      <c r="C7" t="s">
        <v>274</v>
      </c>
      <c r="D7" s="9">
        <v>29111272700953</v>
      </c>
      <c r="E7" s="5">
        <v>20000</v>
      </c>
      <c r="F7" s="5">
        <v>18</v>
      </c>
      <c r="G7" s="12" t="str">
        <f t="shared" si="0"/>
        <v>5078031360586508</v>
      </c>
      <c r="H7" s="3" t="s">
        <v>295</v>
      </c>
      <c r="I7" t="s">
        <v>230</v>
      </c>
      <c r="J7" s="11" t="s">
        <v>296</v>
      </c>
      <c r="K7" s="11" t="s">
        <v>297</v>
      </c>
      <c r="L7" s="10" t="s">
        <v>4</v>
      </c>
      <c r="M7" s="10" t="s">
        <v>5</v>
      </c>
      <c r="N7" t="s">
        <v>231</v>
      </c>
    </row>
    <row r="8" spans="1:14" x14ac:dyDescent="0.3">
      <c r="A8" s="14">
        <v>71</v>
      </c>
      <c r="B8">
        <v>5991</v>
      </c>
      <c r="C8" t="s">
        <v>277</v>
      </c>
      <c r="D8" s="9">
        <v>28811052700446</v>
      </c>
      <c r="E8" s="5">
        <v>20000</v>
      </c>
      <c r="F8" s="5">
        <v>18</v>
      </c>
      <c r="G8" s="12" t="str">
        <f t="shared" si="0"/>
        <v>5078031341350743</v>
      </c>
      <c r="H8" s="3" t="s">
        <v>304</v>
      </c>
      <c r="I8" t="s">
        <v>224</v>
      </c>
      <c r="J8" s="11" t="s">
        <v>305</v>
      </c>
      <c r="K8" s="11" t="s">
        <v>306</v>
      </c>
      <c r="L8" s="10" t="s">
        <v>4</v>
      </c>
      <c r="M8" s="10" t="s">
        <v>5</v>
      </c>
      <c r="N8" t="s">
        <v>231</v>
      </c>
    </row>
    <row r="9" spans="1:14" x14ac:dyDescent="0.3">
      <c r="A9" s="14">
        <v>73</v>
      </c>
      <c r="B9">
        <v>5993</v>
      </c>
      <c r="C9" t="s">
        <v>279</v>
      </c>
      <c r="D9" s="9">
        <v>28503052701331</v>
      </c>
      <c r="E9" s="5">
        <v>20000</v>
      </c>
      <c r="F9" s="5">
        <v>18</v>
      </c>
      <c r="G9" s="12" t="str">
        <f t="shared" si="0"/>
        <v>5078031346705198</v>
      </c>
      <c r="H9" s="3" t="s">
        <v>310</v>
      </c>
      <c r="I9" t="s">
        <v>230</v>
      </c>
      <c r="J9" s="11" t="s">
        <v>311</v>
      </c>
      <c r="K9" s="11" t="s">
        <v>312</v>
      </c>
      <c r="L9" s="10" t="s">
        <v>4</v>
      </c>
      <c r="M9" s="10" t="s">
        <v>5</v>
      </c>
      <c r="N9" t="s">
        <v>231</v>
      </c>
    </row>
    <row r="10" spans="1:14" x14ac:dyDescent="0.3">
      <c r="A10" s="14">
        <v>74</v>
      </c>
      <c r="B10">
        <v>5994</v>
      </c>
      <c r="C10" t="s">
        <v>280</v>
      </c>
      <c r="D10" s="9">
        <v>28801252701671</v>
      </c>
      <c r="E10" s="5">
        <v>20000</v>
      </c>
      <c r="F10" s="5">
        <v>12</v>
      </c>
      <c r="G10" s="12" t="str">
        <f t="shared" si="0"/>
        <v>5078031341688514</v>
      </c>
      <c r="H10" s="3" t="s">
        <v>313</v>
      </c>
      <c r="I10" t="s">
        <v>230</v>
      </c>
      <c r="J10" s="11" t="s">
        <v>314</v>
      </c>
      <c r="K10" s="11" t="s">
        <v>315</v>
      </c>
      <c r="L10" s="10" t="s">
        <v>4</v>
      </c>
      <c r="M10" s="10" t="s">
        <v>5</v>
      </c>
      <c r="N10" t="s">
        <v>231</v>
      </c>
    </row>
    <row r="11" spans="1:14" x14ac:dyDescent="0.3">
      <c r="A11" s="14">
        <v>80</v>
      </c>
      <c r="B11">
        <v>6000</v>
      </c>
      <c r="C11" t="s">
        <v>286</v>
      </c>
      <c r="D11" s="9">
        <v>30109162703591</v>
      </c>
      <c r="E11" s="5">
        <v>20000</v>
      </c>
      <c r="F11" s="5">
        <v>18</v>
      </c>
      <c r="G11" s="12" t="str">
        <f t="shared" si="0"/>
        <v>5078031346777296</v>
      </c>
      <c r="H11" s="3" t="s">
        <v>331</v>
      </c>
      <c r="I11" t="s">
        <v>228</v>
      </c>
      <c r="J11" s="11" t="s">
        <v>332</v>
      </c>
      <c r="K11" s="11" t="s">
        <v>333</v>
      </c>
      <c r="L11" s="10" t="s">
        <v>4</v>
      </c>
      <c r="M11" s="10" t="s">
        <v>5</v>
      </c>
      <c r="N11" t="s">
        <v>231</v>
      </c>
    </row>
    <row r="12" spans="1:14" x14ac:dyDescent="0.3">
      <c r="A12" s="14">
        <v>27</v>
      </c>
      <c r="B12">
        <v>5234</v>
      </c>
      <c r="C12" t="s">
        <v>122</v>
      </c>
      <c r="D12" s="9">
        <v>29504012702211</v>
      </c>
      <c r="E12" s="5">
        <v>20000</v>
      </c>
      <c r="F12" s="5">
        <v>18</v>
      </c>
      <c r="G12" s="12" t="str">
        <f t="shared" si="0"/>
        <v>5078031301883147</v>
      </c>
      <c r="H12" s="3" t="s">
        <v>186</v>
      </c>
      <c r="I12" t="s">
        <v>229</v>
      </c>
      <c r="J12" s="11" t="s">
        <v>340</v>
      </c>
      <c r="K12" s="11" t="s">
        <v>339</v>
      </c>
      <c r="L12" s="10" t="s">
        <v>4</v>
      </c>
      <c r="M12" s="10" t="s">
        <v>5</v>
      </c>
      <c r="N12" t="s">
        <v>231</v>
      </c>
    </row>
    <row r="13" spans="1:14" x14ac:dyDescent="0.3">
      <c r="A13" s="14">
        <v>44</v>
      </c>
      <c r="B13">
        <v>5968</v>
      </c>
      <c r="C13" t="s">
        <v>139</v>
      </c>
      <c r="D13" s="9">
        <v>26711112700813</v>
      </c>
      <c r="E13" s="5">
        <v>20000</v>
      </c>
      <c r="F13" s="5">
        <v>18</v>
      </c>
      <c r="G13" s="12" t="str">
        <f t="shared" si="0"/>
        <v>5078031365948182</v>
      </c>
      <c r="H13" s="3" t="s">
        <v>203</v>
      </c>
      <c r="I13" t="s">
        <v>228</v>
      </c>
      <c r="J13" s="11" t="s">
        <v>68</v>
      </c>
      <c r="K13" s="11" t="s">
        <v>67</v>
      </c>
      <c r="L13" s="10" t="s">
        <v>4</v>
      </c>
      <c r="M13" s="10" t="s">
        <v>5</v>
      </c>
      <c r="N13" t="s">
        <v>231</v>
      </c>
    </row>
    <row r="14" spans="1:14" x14ac:dyDescent="0.3">
      <c r="A14" s="14">
        <v>67</v>
      </c>
      <c r="B14">
        <v>4821</v>
      </c>
      <c r="C14" t="s">
        <v>273</v>
      </c>
      <c r="D14" s="9">
        <v>29507102700186</v>
      </c>
      <c r="E14" s="5">
        <v>20000</v>
      </c>
      <c r="F14" s="5">
        <v>18</v>
      </c>
      <c r="G14" s="12" t="str">
        <f t="shared" si="0"/>
        <v>5078031375764355</v>
      </c>
      <c r="H14" s="3" t="s">
        <v>294</v>
      </c>
      <c r="I14" t="s">
        <v>226</v>
      </c>
      <c r="J14" s="11" t="s">
        <v>342</v>
      </c>
      <c r="K14" s="11" t="s">
        <v>341</v>
      </c>
      <c r="L14" s="10" t="s">
        <v>4</v>
      </c>
      <c r="M14" s="10" t="s">
        <v>5</v>
      </c>
      <c r="N14" t="s">
        <v>231</v>
      </c>
    </row>
    <row r="15" spans="1:14" x14ac:dyDescent="0.3">
      <c r="A15" s="14">
        <v>77</v>
      </c>
      <c r="B15">
        <v>5997</v>
      </c>
      <c r="C15" t="s">
        <v>283</v>
      </c>
      <c r="D15" s="9">
        <v>27707072700081</v>
      </c>
      <c r="E15" s="5">
        <v>20000</v>
      </c>
      <c r="F15" s="5">
        <v>18</v>
      </c>
      <c r="G15" s="12" t="str">
        <f t="shared" si="0"/>
        <v>5078031386441092</v>
      </c>
      <c r="H15" s="3" t="s">
        <v>322</v>
      </c>
      <c r="I15" t="s">
        <v>225</v>
      </c>
      <c r="J15" s="11" t="s">
        <v>323</v>
      </c>
      <c r="K15" s="11" t="s">
        <v>324</v>
      </c>
      <c r="L15" s="10" t="s">
        <v>4</v>
      </c>
      <c r="M15" s="10" t="s">
        <v>5</v>
      </c>
      <c r="N15" t="s">
        <v>231</v>
      </c>
    </row>
    <row r="16" spans="1:14" x14ac:dyDescent="0.3">
      <c r="A16" s="14">
        <v>78</v>
      </c>
      <c r="B16">
        <v>5998</v>
      </c>
      <c r="C16" t="s">
        <v>284</v>
      </c>
      <c r="D16" s="9">
        <v>30205222701118</v>
      </c>
      <c r="E16" s="5">
        <v>20000</v>
      </c>
      <c r="F16" s="5">
        <v>18</v>
      </c>
      <c r="G16" s="12" t="str">
        <f t="shared" si="0"/>
        <v>5078031305680192</v>
      </c>
      <c r="H16" s="3" t="s">
        <v>325</v>
      </c>
      <c r="I16" t="s">
        <v>227</v>
      </c>
      <c r="J16" s="11" t="s">
        <v>326</v>
      </c>
      <c r="K16" s="11" t="s">
        <v>327</v>
      </c>
      <c r="L16" s="10" t="s">
        <v>4</v>
      </c>
      <c r="M16" s="10" t="s">
        <v>5</v>
      </c>
      <c r="N16" t="s">
        <v>231</v>
      </c>
    </row>
    <row r="17" spans="1:14" x14ac:dyDescent="0.3">
      <c r="A17" s="14">
        <v>11</v>
      </c>
      <c r="B17">
        <v>4322</v>
      </c>
      <c r="C17" t="s">
        <v>106</v>
      </c>
      <c r="D17" s="9">
        <v>29301102705296</v>
      </c>
      <c r="E17" s="5">
        <v>10000</v>
      </c>
      <c r="F17" s="5">
        <v>18</v>
      </c>
      <c r="G17" s="12" t="str">
        <f t="shared" si="0"/>
        <v>5078031342854727</v>
      </c>
      <c r="H17" s="3" t="s">
        <v>170</v>
      </c>
      <c r="I17" t="s">
        <v>228</v>
      </c>
      <c r="J17" s="11" t="s">
        <v>270</v>
      </c>
      <c r="K17" s="11" t="s">
        <v>269</v>
      </c>
      <c r="L17" s="10" t="s">
        <v>4</v>
      </c>
      <c r="M17" s="10" t="s">
        <v>5</v>
      </c>
      <c r="N17" t="s">
        <v>232</v>
      </c>
    </row>
    <row r="18" spans="1:14" x14ac:dyDescent="0.3">
      <c r="A18" s="14">
        <v>58</v>
      </c>
      <c r="B18">
        <v>5982</v>
      </c>
      <c r="C18" t="s">
        <v>153</v>
      </c>
      <c r="D18" s="9">
        <v>29509102705211</v>
      </c>
      <c r="E18" s="5">
        <v>20000</v>
      </c>
      <c r="F18" s="5">
        <v>18</v>
      </c>
      <c r="G18" s="12" t="str">
        <f t="shared" si="0"/>
        <v>5078031359722122</v>
      </c>
      <c r="H18" s="3" t="s">
        <v>217</v>
      </c>
      <c r="I18" t="s">
        <v>225</v>
      </c>
      <c r="J18" s="11" t="s">
        <v>84</v>
      </c>
      <c r="K18" s="11" t="s">
        <v>83</v>
      </c>
      <c r="L18" s="10" t="s">
        <v>4</v>
      </c>
      <c r="M18" s="10" t="s">
        <v>5</v>
      </c>
      <c r="N18" t="s">
        <v>232</v>
      </c>
    </row>
    <row r="19" spans="1:14" x14ac:dyDescent="0.3">
      <c r="A19" s="14">
        <v>59</v>
      </c>
      <c r="B19">
        <v>5983</v>
      </c>
      <c r="C19" t="s">
        <v>154</v>
      </c>
      <c r="D19" s="9">
        <v>28908052700211</v>
      </c>
      <c r="E19" s="5">
        <v>20000</v>
      </c>
      <c r="F19" s="5">
        <v>18</v>
      </c>
      <c r="G19" s="12" t="str">
        <f t="shared" si="0"/>
        <v>5078031318030906</v>
      </c>
      <c r="H19" s="3" t="s">
        <v>218</v>
      </c>
      <c r="I19" t="s">
        <v>225</v>
      </c>
      <c r="J19" s="11" t="s">
        <v>86</v>
      </c>
      <c r="K19" s="11" t="s">
        <v>85</v>
      </c>
      <c r="L19" s="10" t="s">
        <v>4</v>
      </c>
      <c r="M19" s="10" t="s">
        <v>5</v>
      </c>
      <c r="N19" t="s">
        <v>232</v>
      </c>
    </row>
    <row r="20" spans="1:14" x14ac:dyDescent="0.3">
      <c r="A20" s="14">
        <v>15</v>
      </c>
      <c r="B20">
        <v>4695</v>
      </c>
      <c r="C20" t="s">
        <v>110</v>
      </c>
      <c r="D20" s="9">
        <v>29006092700264</v>
      </c>
      <c r="E20" s="5">
        <v>29000</v>
      </c>
      <c r="F20" s="5">
        <v>18</v>
      </c>
      <c r="G20" s="12" t="str">
        <f t="shared" si="0"/>
        <v>5078031305233000</v>
      </c>
      <c r="H20" s="3" t="s">
        <v>174</v>
      </c>
      <c r="I20" t="s">
        <v>224</v>
      </c>
      <c r="J20" s="11" t="s">
        <v>266</v>
      </c>
      <c r="K20" s="11" t="s">
        <v>265</v>
      </c>
      <c r="L20" s="10" t="s">
        <v>4</v>
      </c>
      <c r="M20" s="10" t="s">
        <v>5</v>
      </c>
      <c r="N20" t="s">
        <v>231</v>
      </c>
    </row>
    <row r="21" spans="1:14" x14ac:dyDescent="0.3">
      <c r="A21" s="14">
        <v>16</v>
      </c>
      <c r="B21">
        <v>4696</v>
      </c>
      <c r="C21" t="s">
        <v>111</v>
      </c>
      <c r="D21" s="9">
        <v>28208312700099</v>
      </c>
      <c r="E21" s="5">
        <v>29000</v>
      </c>
      <c r="F21" s="5">
        <v>18</v>
      </c>
      <c r="G21" s="12" t="str">
        <f t="shared" si="0"/>
        <v>5078031349497579</v>
      </c>
      <c r="H21" s="3" t="s">
        <v>175</v>
      </c>
      <c r="I21" t="s">
        <v>224</v>
      </c>
      <c r="J21" s="11" t="s">
        <v>267</v>
      </c>
      <c r="K21" s="11" t="s">
        <v>268</v>
      </c>
      <c r="L21" s="10" t="s">
        <v>4</v>
      </c>
      <c r="M21" s="10" t="s">
        <v>5</v>
      </c>
      <c r="N21" t="s">
        <v>231</v>
      </c>
    </row>
    <row r="22" spans="1:14" x14ac:dyDescent="0.3">
      <c r="A22" s="14">
        <v>51</v>
      </c>
      <c r="B22">
        <v>5975</v>
      </c>
      <c r="C22" t="s">
        <v>146</v>
      </c>
      <c r="D22" s="9">
        <v>28801022702376</v>
      </c>
      <c r="E22" s="5">
        <v>20000</v>
      </c>
      <c r="F22" s="5">
        <v>18</v>
      </c>
      <c r="G22" s="12" t="str">
        <f t="shared" si="0"/>
        <v>5078031335803178</v>
      </c>
      <c r="H22" s="3" t="s">
        <v>210</v>
      </c>
      <c r="I22" t="s">
        <v>227</v>
      </c>
      <c r="J22" s="11" t="s">
        <v>76</v>
      </c>
      <c r="K22" s="11" t="s">
        <v>75</v>
      </c>
      <c r="L22" s="10" t="s">
        <v>4</v>
      </c>
      <c r="M22" s="10" t="s">
        <v>5</v>
      </c>
      <c r="N22" t="s">
        <v>231</v>
      </c>
    </row>
    <row r="23" spans="1:14" x14ac:dyDescent="0.3">
      <c r="A23" s="14">
        <v>1</v>
      </c>
      <c r="B23">
        <v>1429</v>
      </c>
      <c r="C23" t="s">
        <v>96</v>
      </c>
      <c r="D23" s="9">
        <v>28309062700501</v>
      </c>
      <c r="E23" s="5">
        <v>20000</v>
      </c>
      <c r="F23" s="5">
        <v>18</v>
      </c>
      <c r="G23" s="12" t="str">
        <f t="shared" si="0"/>
        <v>5078031305155526</v>
      </c>
      <c r="H23" s="3" t="s">
        <v>160</v>
      </c>
      <c r="I23" t="s">
        <v>224</v>
      </c>
      <c r="J23" s="11" t="s">
        <v>17</v>
      </c>
      <c r="K23" s="11" t="s">
        <v>16</v>
      </c>
      <c r="L23" s="10" t="s">
        <v>4</v>
      </c>
      <c r="M23" s="10" t="s">
        <v>5</v>
      </c>
      <c r="N23" t="s">
        <v>231</v>
      </c>
    </row>
    <row r="24" spans="1:14" x14ac:dyDescent="0.3">
      <c r="A24" s="14">
        <v>2</v>
      </c>
      <c r="B24">
        <v>1693</v>
      </c>
      <c r="C24" t="s">
        <v>97</v>
      </c>
      <c r="D24" s="9">
        <v>26610132702293</v>
      </c>
      <c r="E24" s="5">
        <v>20000</v>
      </c>
      <c r="F24" s="5">
        <v>18</v>
      </c>
      <c r="G24" s="12" t="str">
        <f t="shared" si="0"/>
        <v>5078031321656440</v>
      </c>
      <c r="H24" s="3" t="s">
        <v>161</v>
      </c>
      <c r="I24" t="s">
        <v>225</v>
      </c>
      <c r="J24" s="11" t="s">
        <v>19</v>
      </c>
      <c r="K24" s="11" t="s">
        <v>18</v>
      </c>
      <c r="L24" s="10" t="s">
        <v>4</v>
      </c>
      <c r="M24" s="10" t="s">
        <v>5</v>
      </c>
      <c r="N24" t="s">
        <v>231</v>
      </c>
    </row>
    <row r="25" spans="1:14" x14ac:dyDescent="0.3">
      <c r="A25" s="14">
        <v>3</v>
      </c>
      <c r="B25">
        <v>1863</v>
      </c>
      <c r="C25" t="s">
        <v>98</v>
      </c>
      <c r="D25" s="9">
        <v>27012202700594</v>
      </c>
      <c r="E25" s="5">
        <v>10000</v>
      </c>
      <c r="F25" s="5">
        <v>18</v>
      </c>
      <c r="G25" s="12" t="str">
        <f t="shared" si="0"/>
        <v>5078031366861772</v>
      </c>
      <c r="H25" s="3" t="s">
        <v>162</v>
      </c>
      <c r="I25" t="s">
        <v>226</v>
      </c>
      <c r="J25" s="11" t="s">
        <v>21</v>
      </c>
      <c r="K25" s="11" t="s">
        <v>20</v>
      </c>
      <c r="L25" s="10" t="s">
        <v>4</v>
      </c>
      <c r="M25" s="10" t="s">
        <v>5</v>
      </c>
      <c r="N25" t="s">
        <v>232</v>
      </c>
    </row>
    <row r="26" spans="1:14" x14ac:dyDescent="0.3">
      <c r="A26" s="14">
        <v>4</v>
      </c>
      <c r="B26">
        <v>2518</v>
      </c>
      <c r="C26" t="s">
        <v>99</v>
      </c>
      <c r="D26" s="9">
        <v>27702172701074</v>
      </c>
      <c r="E26" s="5">
        <v>20000</v>
      </c>
      <c r="F26" s="5">
        <v>18</v>
      </c>
      <c r="G26" s="12" t="str">
        <f t="shared" si="0"/>
        <v>5078031364523200</v>
      </c>
      <c r="H26" s="3" t="s">
        <v>163</v>
      </c>
      <c r="I26" t="s">
        <v>224</v>
      </c>
      <c r="J26" s="11" t="s">
        <v>23</v>
      </c>
      <c r="K26" s="11" t="s">
        <v>22</v>
      </c>
      <c r="L26" s="10" t="s">
        <v>4</v>
      </c>
      <c r="M26" s="10" t="s">
        <v>5</v>
      </c>
      <c r="N26" t="s">
        <v>232</v>
      </c>
    </row>
    <row r="27" spans="1:14" x14ac:dyDescent="0.3">
      <c r="A27" s="14">
        <v>5</v>
      </c>
      <c r="B27">
        <v>3054</v>
      </c>
      <c r="C27" t="s">
        <v>100</v>
      </c>
      <c r="D27" s="9">
        <v>26811122700531</v>
      </c>
      <c r="E27" s="5">
        <v>29000</v>
      </c>
      <c r="F27" s="5">
        <v>12</v>
      </c>
      <c r="G27" s="12" t="str">
        <f t="shared" si="0"/>
        <v>5078031352035688</v>
      </c>
      <c r="H27" s="3" t="s">
        <v>164</v>
      </c>
      <c r="I27" t="s">
        <v>224</v>
      </c>
      <c r="J27" s="11" t="s">
        <v>25</v>
      </c>
      <c r="K27" s="11" t="s">
        <v>24</v>
      </c>
      <c r="L27" s="10" t="s">
        <v>4</v>
      </c>
      <c r="M27" s="10" t="s">
        <v>5</v>
      </c>
      <c r="N27" t="s">
        <v>231</v>
      </c>
    </row>
    <row r="28" spans="1:14" x14ac:dyDescent="0.3">
      <c r="A28" s="14">
        <v>6</v>
      </c>
      <c r="B28">
        <v>3749</v>
      </c>
      <c r="C28" t="s">
        <v>101</v>
      </c>
      <c r="D28" s="9">
        <v>27703072701235</v>
      </c>
      <c r="E28" s="5">
        <v>20000</v>
      </c>
      <c r="F28" s="5">
        <v>12</v>
      </c>
      <c r="G28" s="12" t="str">
        <f t="shared" si="0"/>
        <v>5078031389322703</v>
      </c>
      <c r="H28" s="3" t="s">
        <v>165</v>
      </c>
      <c r="I28" t="s">
        <v>227</v>
      </c>
      <c r="J28" s="11" t="s">
        <v>27</v>
      </c>
      <c r="K28" s="11" t="s">
        <v>26</v>
      </c>
      <c r="L28" s="10" t="s">
        <v>4</v>
      </c>
      <c r="M28" s="10" t="s">
        <v>5</v>
      </c>
      <c r="N28" t="s">
        <v>232</v>
      </c>
    </row>
    <row r="29" spans="1:14" x14ac:dyDescent="0.3">
      <c r="A29" s="14">
        <v>7</v>
      </c>
      <c r="B29">
        <v>4012</v>
      </c>
      <c r="C29" t="s">
        <v>102</v>
      </c>
      <c r="D29" s="9">
        <v>29101232700777</v>
      </c>
      <c r="E29" s="5">
        <v>15000</v>
      </c>
      <c r="F29" s="5">
        <v>18</v>
      </c>
      <c r="G29" s="12" t="str">
        <f t="shared" si="0"/>
        <v>5078031346919468</v>
      </c>
      <c r="H29" s="3" t="s">
        <v>166</v>
      </c>
      <c r="I29" t="s">
        <v>226</v>
      </c>
      <c r="J29" s="11" t="s">
        <v>29</v>
      </c>
      <c r="K29" s="11" t="s">
        <v>28</v>
      </c>
      <c r="L29" s="10" t="s">
        <v>4</v>
      </c>
      <c r="M29" s="10" t="s">
        <v>5</v>
      </c>
      <c r="N29" t="s">
        <v>232</v>
      </c>
    </row>
    <row r="30" spans="1:14" x14ac:dyDescent="0.3">
      <c r="A30" s="14">
        <v>8</v>
      </c>
      <c r="B30">
        <v>4116</v>
      </c>
      <c r="C30" t="s">
        <v>103</v>
      </c>
      <c r="D30" s="9">
        <v>27901212701571</v>
      </c>
      <c r="E30" s="5">
        <v>20000</v>
      </c>
      <c r="F30" s="5">
        <v>18</v>
      </c>
      <c r="G30" s="12" t="str">
        <f t="shared" si="0"/>
        <v>5078031336249272</v>
      </c>
      <c r="H30" s="3" t="s">
        <v>167</v>
      </c>
      <c r="I30" t="s">
        <v>224</v>
      </c>
      <c r="J30" s="11" t="s">
        <v>31</v>
      </c>
      <c r="K30" s="11" t="s">
        <v>30</v>
      </c>
      <c r="L30" s="10" t="s">
        <v>4</v>
      </c>
      <c r="M30" s="10" t="s">
        <v>5</v>
      </c>
      <c r="N30" t="s">
        <v>231</v>
      </c>
    </row>
    <row r="31" spans="1:14" x14ac:dyDescent="0.3">
      <c r="A31" s="14">
        <v>9</v>
      </c>
      <c r="B31">
        <v>4291</v>
      </c>
      <c r="C31" t="s">
        <v>104</v>
      </c>
      <c r="D31" s="9">
        <v>27704062700521</v>
      </c>
      <c r="E31" s="5">
        <v>15000</v>
      </c>
      <c r="F31" s="5">
        <v>18</v>
      </c>
      <c r="G31" s="12" t="str">
        <f t="shared" si="0"/>
        <v>5078031392710019</v>
      </c>
      <c r="H31" s="3" t="s">
        <v>168</v>
      </c>
      <c r="I31" t="s">
        <v>227</v>
      </c>
      <c r="J31" s="11" t="s">
        <v>33</v>
      </c>
      <c r="K31" s="11" t="s">
        <v>32</v>
      </c>
      <c r="L31" s="10" t="s">
        <v>4</v>
      </c>
      <c r="M31" s="10" t="s">
        <v>5</v>
      </c>
      <c r="N31" t="s">
        <v>232</v>
      </c>
    </row>
    <row r="32" spans="1:14" x14ac:dyDescent="0.3">
      <c r="A32" s="14">
        <v>10</v>
      </c>
      <c r="B32">
        <v>4312</v>
      </c>
      <c r="C32" t="s">
        <v>105</v>
      </c>
      <c r="D32" s="9">
        <v>28601122702102</v>
      </c>
      <c r="E32" s="5">
        <v>20000</v>
      </c>
      <c r="F32" s="5">
        <v>18</v>
      </c>
      <c r="G32" s="12" t="str">
        <f t="shared" si="0"/>
        <v>5078031344364550</v>
      </c>
      <c r="H32" s="3" t="s">
        <v>169</v>
      </c>
      <c r="I32" t="s">
        <v>226</v>
      </c>
      <c r="J32" s="11" t="s">
        <v>35</v>
      </c>
      <c r="K32" s="11" t="s">
        <v>34</v>
      </c>
      <c r="L32" s="10" t="s">
        <v>4</v>
      </c>
      <c r="M32" s="10" t="s">
        <v>5</v>
      </c>
      <c r="N32" t="s">
        <v>231</v>
      </c>
    </row>
    <row r="33" spans="1:19" x14ac:dyDescent="0.3">
      <c r="A33" s="14">
        <v>12</v>
      </c>
      <c r="B33">
        <v>4371</v>
      </c>
      <c r="C33" t="s">
        <v>107</v>
      </c>
      <c r="D33" s="9">
        <v>28608092701631</v>
      </c>
      <c r="E33" s="5">
        <v>29000</v>
      </c>
      <c r="F33" s="5">
        <v>18</v>
      </c>
      <c r="G33" s="12" t="str">
        <f t="shared" si="0"/>
        <v>5078031307149584</v>
      </c>
      <c r="H33" s="3" t="s">
        <v>171</v>
      </c>
      <c r="I33" t="s">
        <v>227</v>
      </c>
      <c r="J33" s="11" t="s">
        <v>37</v>
      </c>
      <c r="K33" s="11" t="s">
        <v>36</v>
      </c>
      <c r="L33" s="10" t="s">
        <v>4</v>
      </c>
      <c r="M33" s="10" t="s">
        <v>5</v>
      </c>
      <c r="N33" t="s">
        <v>231</v>
      </c>
    </row>
    <row r="34" spans="1:19" x14ac:dyDescent="0.3">
      <c r="A34" s="14">
        <v>13</v>
      </c>
      <c r="B34">
        <v>4470</v>
      </c>
      <c r="C34" t="s">
        <v>108</v>
      </c>
      <c r="D34" s="9">
        <v>28209202700936</v>
      </c>
      <c r="E34" s="5">
        <v>8000</v>
      </c>
      <c r="F34" s="5">
        <v>18</v>
      </c>
      <c r="G34" s="12" t="str">
        <f t="shared" ref="G34:G65" si="1">CONCATENATE(M34,L34,K34,J34)</f>
        <v>5078031315650862</v>
      </c>
      <c r="H34" s="3" t="s">
        <v>172</v>
      </c>
      <c r="I34" t="s">
        <v>228</v>
      </c>
      <c r="J34" s="11" t="s">
        <v>39</v>
      </c>
      <c r="K34" s="11" t="s">
        <v>38</v>
      </c>
      <c r="L34" s="10" t="s">
        <v>4</v>
      </c>
      <c r="M34" s="10" t="s">
        <v>5</v>
      </c>
      <c r="N34" t="s">
        <v>232</v>
      </c>
    </row>
    <row r="35" spans="1:19" x14ac:dyDescent="0.3">
      <c r="A35" s="14">
        <v>14</v>
      </c>
      <c r="B35">
        <v>4613</v>
      </c>
      <c r="C35" t="s">
        <v>109</v>
      </c>
      <c r="D35" s="9">
        <v>26811242700852</v>
      </c>
      <c r="E35" s="5">
        <v>15000</v>
      </c>
      <c r="F35" s="5">
        <v>14</v>
      </c>
      <c r="G35" s="12" t="str">
        <f t="shared" si="1"/>
        <v>5078031398886433</v>
      </c>
      <c r="H35" s="3" t="s">
        <v>173</v>
      </c>
      <c r="I35" t="s">
        <v>229</v>
      </c>
      <c r="J35" s="11" t="s">
        <v>237</v>
      </c>
      <c r="K35" s="11" t="s">
        <v>236</v>
      </c>
      <c r="L35" s="10" t="s">
        <v>4</v>
      </c>
      <c r="M35" s="10" t="s">
        <v>5</v>
      </c>
      <c r="N35" t="s">
        <v>232</v>
      </c>
    </row>
    <row r="36" spans="1:19" x14ac:dyDescent="0.3">
      <c r="A36" s="14">
        <v>17</v>
      </c>
      <c r="B36">
        <v>4764</v>
      </c>
      <c r="C36" t="s">
        <v>112</v>
      </c>
      <c r="D36" s="9">
        <v>28806152700407</v>
      </c>
      <c r="E36" s="5">
        <v>15000</v>
      </c>
      <c r="F36" s="5">
        <v>18</v>
      </c>
      <c r="G36" s="12" t="str">
        <f t="shared" si="1"/>
        <v>5078031357323667</v>
      </c>
      <c r="H36" s="3" t="s">
        <v>176</v>
      </c>
      <c r="I36" t="s">
        <v>224</v>
      </c>
      <c r="J36" s="11" t="s">
        <v>262</v>
      </c>
      <c r="K36" s="11" t="s">
        <v>261</v>
      </c>
      <c r="L36" s="10" t="s">
        <v>4</v>
      </c>
      <c r="M36" s="10" t="s">
        <v>5</v>
      </c>
      <c r="N36" t="s">
        <v>232</v>
      </c>
    </row>
    <row r="37" spans="1:19" x14ac:dyDescent="0.3">
      <c r="A37" s="14">
        <v>18</v>
      </c>
      <c r="B37">
        <v>4807</v>
      </c>
      <c r="C37" t="s">
        <v>113</v>
      </c>
      <c r="D37" s="9">
        <v>28807102702511</v>
      </c>
      <c r="E37" s="5">
        <v>15000</v>
      </c>
      <c r="F37" s="5">
        <v>18</v>
      </c>
      <c r="G37" s="12" t="str">
        <f t="shared" si="1"/>
        <v>5078031383151751</v>
      </c>
      <c r="H37" s="3" t="s">
        <v>177</v>
      </c>
      <c r="I37" t="s">
        <v>227</v>
      </c>
      <c r="J37" s="11" t="s">
        <v>235</v>
      </c>
      <c r="K37" s="11" t="s">
        <v>234</v>
      </c>
      <c r="L37" s="10" t="s">
        <v>4</v>
      </c>
      <c r="M37" s="10" t="s">
        <v>5</v>
      </c>
      <c r="N37" t="s">
        <v>232</v>
      </c>
    </row>
    <row r="38" spans="1:19" x14ac:dyDescent="0.3">
      <c r="A38" s="14">
        <v>19</v>
      </c>
      <c r="B38">
        <v>4844</v>
      </c>
      <c r="C38" t="s">
        <v>114</v>
      </c>
      <c r="D38" s="9">
        <v>28002252701204</v>
      </c>
      <c r="E38" s="5">
        <v>15000</v>
      </c>
      <c r="F38" s="5">
        <v>18</v>
      </c>
      <c r="G38" s="12" t="str">
        <f t="shared" si="1"/>
        <v>5078031338587828</v>
      </c>
      <c r="H38" s="3" t="s">
        <v>178</v>
      </c>
      <c r="I38" t="s">
        <v>227</v>
      </c>
      <c r="J38" s="11" t="s">
        <v>47</v>
      </c>
      <c r="K38" s="11" t="s">
        <v>46</v>
      </c>
      <c r="L38" s="10" t="s">
        <v>4</v>
      </c>
      <c r="M38" s="10" t="s">
        <v>5</v>
      </c>
      <c r="N38" t="s">
        <v>232</v>
      </c>
    </row>
    <row r="39" spans="1:19" x14ac:dyDescent="0.3">
      <c r="A39" s="14">
        <v>20</v>
      </c>
      <c r="B39">
        <v>4867</v>
      </c>
      <c r="C39" t="s">
        <v>115</v>
      </c>
      <c r="D39" s="9">
        <v>28206202700317</v>
      </c>
      <c r="E39" s="5">
        <v>20000</v>
      </c>
      <c r="F39" s="5">
        <v>12</v>
      </c>
      <c r="G39" s="12" t="str">
        <f t="shared" si="1"/>
        <v>5078031394725965</v>
      </c>
      <c r="H39" s="3" t="s">
        <v>179</v>
      </c>
      <c r="I39" t="s">
        <v>225</v>
      </c>
      <c r="J39" s="11" t="s">
        <v>45</v>
      </c>
      <c r="K39" s="11" t="s">
        <v>44</v>
      </c>
      <c r="L39" s="10" t="s">
        <v>4</v>
      </c>
      <c r="M39" s="10" t="s">
        <v>5</v>
      </c>
      <c r="N39" t="s">
        <v>231</v>
      </c>
    </row>
    <row r="40" spans="1:19" x14ac:dyDescent="0.3">
      <c r="A40" s="14">
        <v>21</v>
      </c>
      <c r="B40">
        <v>4941</v>
      </c>
      <c r="C40" t="s">
        <v>116</v>
      </c>
      <c r="D40" s="9">
        <v>28409292701463</v>
      </c>
      <c r="E40" s="5">
        <v>15000</v>
      </c>
      <c r="F40" s="5">
        <v>18</v>
      </c>
      <c r="G40" s="12" t="str">
        <f t="shared" si="1"/>
        <v>5078031377173126</v>
      </c>
      <c r="H40" s="3" t="s">
        <v>180</v>
      </c>
      <c r="I40" t="s">
        <v>226</v>
      </c>
      <c r="J40" s="11" t="s">
        <v>264</v>
      </c>
      <c r="K40" s="11" t="s">
        <v>263</v>
      </c>
      <c r="L40" s="10" t="s">
        <v>4</v>
      </c>
      <c r="M40" s="10" t="s">
        <v>5</v>
      </c>
      <c r="N40" t="s">
        <v>232</v>
      </c>
    </row>
    <row r="41" spans="1:19" x14ac:dyDescent="0.3">
      <c r="A41" s="14">
        <v>22</v>
      </c>
      <c r="B41">
        <v>4996</v>
      </c>
      <c r="C41" t="s">
        <v>117</v>
      </c>
      <c r="D41" s="9">
        <v>28602242701025</v>
      </c>
      <c r="E41" s="5">
        <v>20000</v>
      </c>
      <c r="F41" s="5">
        <v>18</v>
      </c>
      <c r="G41" s="12" t="str">
        <f t="shared" si="1"/>
        <v>5078032009073122</v>
      </c>
      <c r="H41" s="3" t="s">
        <v>181</v>
      </c>
      <c r="I41" t="s">
        <v>229</v>
      </c>
      <c r="J41" s="11" t="s">
        <v>246</v>
      </c>
      <c r="K41" s="11" t="s">
        <v>245</v>
      </c>
      <c r="L41" s="10" t="s">
        <v>244</v>
      </c>
      <c r="M41" s="10" t="s">
        <v>5</v>
      </c>
      <c r="N41" t="s">
        <v>233</v>
      </c>
      <c r="P41" s="11" t="s">
        <v>41</v>
      </c>
      <c r="Q41" s="11" t="s">
        <v>40</v>
      </c>
      <c r="R41" s="10" t="s">
        <v>4</v>
      </c>
      <c r="S41" s="10" t="s">
        <v>5</v>
      </c>
    </row>
    <row r="42" spans="1:19" x14ac:dyDescent="0.3">
      <c r="A42" s="14">
        <v>23</v>
      </c>
      <c r="B42">
        <v>5009</v>
      </c>
      <c r="C42" t="s">
        <v>118</v>
      </c>
      <c r="D42" s="9">
        <v>28303092701709</v>
      </c>
      <c r="E42" s="5">
        <v>15000</v>
      </c>
      <c r="F42" s="5">
        <v>18</v>
      </c>
      <c r="G42" s="12" t="str">
        <f t="shared" si="1"/>
        <v>5078032009073171</v>
      </c>
      <c r="H42" s="3" t="s">
        <v>182</v>
      </c>
      <c r="I42" t="s">
        <v>229</v>
      </c>
      <c r="J42" s="11" t="s">
        <v>250</v>
      </c>
      <c r="K42" s="11" t="s">
        <v>245</v>
      </c>
      <c r="L42" s="10" t="s">
        <v>244</v>
      </c>
      <c r="M42" s="10" t="s">
        <v>5</v>
      </c>
      <c r="N42" t="s">
        <v>233</v>
      </c>
      <c r="P42" s="11" t="s">
        <v>43</v>
      </c>
      <c r="Q42" s="11" t="s">
        <v>42</v>
      </c>
      <c r="R42" s="10" t="s">
        <v>4</v>
      </c>
      <c r="S42" s="10" t="s">
        <v>5</v>
      </c>
    </row>
    <row r="43" spans="1:19" x14ac:dyDescent="0.3">
      <c r="A43" s="14">
        <v>24</v>
      </c>
      <c r="B43">
        <v>5017</v>
      </c>
      <c r="C43" t="s">
        <v>119</v>
      </c>
      <c r="D43" s="9">
        <v>26502202702272</v>
      </c>
      <c r="E43" s="5">
        <v>20000</v>
      </c>
      <c r="F43" s="5">
        <v>18</v>
      </c>
      <c r="G43" s="12" t="str">
        <f t="shared" si="1"/>
        <v>5078031391672061</v>
      </c>
      <c r="H43" s="3" t="s">
        <v>183</v>
      </c>
      <c r="I43" t="s">
        <v>228</v>
      </c>
      <c r="J43" s="11" t="s">
        <v>49</v>
      </c>
      <c r="K43" s="11" t="s">
        <v>48</v>
      </c>
      <c r="L43" s="10" t="s">
        <v>4</v>
      </c>
      <c r="M43" s="10" t="s">
        <v>5</v>
      </c>
      <c r="N43" t="s">
        <v>231</v>
      </c>
    </row>
    <row r="44" spans="1:19" x14ac:dyDescent="0.3">
      <c r="A44" s="14">
        <v>25</v>
      </c>
      <c r="B44">
        <v>5065</v>
      </c>
      <c r="C44" t="s">
        <v>120</v>
      </c>
      <c r="D44" s="9">
        <v>26512072701231</v>
      </c>
      <c r="E44" s="5">
        <v>20000</v>
      </c>
      <c r="F44" s="5">
        <v>18</v>
      </c>
      <c r="G44" s="12" t="str">
        <f t="shared" si="1"/>
        <v>5078031392363736</v>
      </c>
      <c r="H44" s="3" t="s">
        <v>184</v>
      </c>
      <c r="I44" t="s">
        <v>229</v>
      </c>
      <c r="J44" s="11" t="s">
        <v>51</v>
      </c>
      <c r="K44" s="11" t="s">
        <v>50</v>
      </c>
      <c r="L44" s="10" t="s">
        <v>4</v>
      </c>
      <c r="M44" s="10" t="s">
        <v>5</v>
      </c>
      <c r="N44" t="s">
        <v>231</v>
      </c>
    </row>
    <row r="45" spans="1:19" x14ac:dyDescent="0.3">
      <c r="A45" s="14">
        <v>26</v>
      </c>
      <c r="B45">
        <v>5148</v>
      </c>
      <c r="C45" t="s">
        <v>121</v>
      </c>
      <c r="D45" s="9">
        <v>27612252700801</v>
      </c>
      <c r="E45" s="5">
        <v>10000</v>
      </c>
      <c r="F45" s="5">
        <v>18</v>
      </c>
      <c r="G45" s="12" t="str">
        <f t="shared" si="1"/>
        <v>5078031311205547</v>
      </c>
      <c r="H45" s="3" t="s">
        <v>185</v>
      </c>
      <c r="I45" t="s">
        <v>229</v>
      </c>
      <c r="J45" s="11" t="s">
        <v>241</v>
      </c>
      <c r="K45" s="11" t="s">
        <v>240</v>
      </c>
      <c r="L45" s="10" t="s">
        <v>4</v>
      </c>
      <c r="M45" s="10" t="s">
        <v>5</v>
      </c>
      <c r="N45" t="s">
        <v>232</v>
      </c>
    </row>
    <row r="46" spans="1:19" x14ac:dyDescent="0.3">
      <c r="A46" s="14">
        <v>28</v>
      </c>
      <c r="B46">
        <v>5250</v>
      </c>
      <c r="C46" t="s">
        <v>123</v>
      </c>
      <c r="D46" s="9">
        <v>27603152701061</v>
      </c>
      <c r="E46" s="5">
        <v>15000</v>
      </c>
      <c r="F46" s="5">
        <v>14</v>
      </c>
      <c r="G46" s="12" t="str">
        <f t="shared" si="1"/>
        <v>5078031361446868</v>
      </c>
      <c r="H46" s="3" t="s">
        <v>187</v>
      </c>
      <c r="I46" t="s">
        <v>229</v>
      </c>
      <c r="J46" s="11" t="s">
        <v>243</v>
      </c>
      <c r="K46" s="11" t="s">
        <v>242</v>
      </c>
      <c r="L46" s="10" t="s">
        <v>4</v>
      </c>
      <c r="M46" s="10" t="s">
        <v>5</v>
      </c>
      <c r="N46" t="s">
        <v>232</v>
      </c>
    </row>
    <row r="47" spans="1:19" x14ac:dyDescent="0.3">
      <c r="A47" s="14">
        <v>29</v>
      </c>
      <c r="B47">
        <v>5394</v>
      </c>
      <c r="C47" t="s">
        <v>124</v>
      </c>
      <c r="D47" s="9">
        <v>29908082702823</v>
      </c>
      <c r="E47" s="5">
        <v>20000</v>
      </c>
      <c r="F47" s="5">
        <v>18</v>
      </c>
      <c r="G47" s="12" t="str">
        <f t="shared" si="1"/>
        <v>5078031358475151</v>
      </c>
      <c r="H47" s="3" t="s">
        <v>188</v>
      </c>
      <c r="I47" t="s">
        <v>229</v>
      </c>
      <c r="J47" s="11" t="s">
        <v>239</v>
      </c>
      <c r="K47" s="11" t="s">
        <v>238</v>
      </c>
      <c r="L47" s="10" t="s">
        <v>4</v>
      </c>
      <c r="M47" s="10" t="s">
        <v>5</v>
      </c>
      <c r="N47" t="s">
        <v>231</v>
      </c>
    </row>
    <row r="48" spans="1:19" x14ac:dyDescent="0.3">
      <c r="A48" s="14">
        <v>30</v>
      </c>
      <c r="B48">
        <v>5528</v>
      </c>
      <c r="C48" t="s">
        <v>125</v>
      </c>
      <c r="D48" s="9">
        <v>28902152700937</v>
      </c>
      <c r="E48" s="5">
        <v>20000</v>
      </c>
      <c r="F48" s="5">
        <v>18</v>
      </c>
      <c r="G48" s="12" t="str">
        <f t="shared" si="1"/>
        <v>5078031304230213</v>
      </c>
      <c r="H48" s="3" t="s">
        <v>189</v>
      </c>
      <c r="I48" t="s">
        <v>227</v>
      </c>
      <c r="J48" s="11" t="s">
        <v>260</v>
      </c>
      <c r="K48" s="11" t="s">
        <v>259</v>
      </c>
      <c r="L48" s="10" t="s">
        <v>4</v>
      </c>
      <c r="M48" s="10" t="s">
        <v>5</v>
      </c>
      <c r="N48" t="s">
        <v>231</v>
      </c>
    </row>
    <row r="49" spans="1:14" x14ac:dyDescent="0.3">
      <c r="A49" s="14">
        <v>31</v>
      </c>
      <c r="B49">
        <v>5676</v>
      </c>
      <c r="C49" t="s">
        <v>126</v>
      </c>
      <c r="D49" s="9">
        <v>29710012703003</v>
      </c>
      <c r="E49" s="5">
        <v>15000</v>
      </c>
      <c r="F49" s="5">
        <v>18</v>
      </c>
      <c r="G49" s="12" t="str">
        <f t="shared" si="1"/>
        <v>5078031336745188</v>
      </c>
      <c r="H49" s="3" t="s">
        <v>190</v>
      </c>
      <c r="I49" t="s">
        <v>224</v>
      </c>
      <c r="J49" s="11" t="s">
        <v>55</v>
      </c>
      <c r="K49" s="11" t="s">
        <v>54</v>
      </c>
      <c r="L49" s="10" t="s">
        <v>4</v>
      </c>
      <c r="M49" s="10" t="s">
        <v>5</v>
      </c>
      <c r="N49" t="s">
        <v>232</v>
      </c>
    </row>
    <row r="50" spans="1:14" x14ac:dyDescent="0.3">
      <c r="A50" s="14">
        <v>32</v>
      </c>
      <c r="B50">
        <v>5862</v>
      </c>
      <c r="C50" t="s">
        <v>127</v>
      </c>
      <c r="D50" s="9">
        <v>27405072700441</v>
      </c>
      <c r="E50" s="5">
        <v>10000</v>
      </c>
      <c r="F50" s="5">
        <v>12</v>
      </c>
      <c r="G50" s="12" t="str">
        <f t="shared" si="1"/>
        <v>5078031341532290</v>
      </c>
      <c r="H50" s="3" t="s">
        <v>191</v>
      </c>
      <c r="I50" t="s">
        <v>230</v>
      </c>
      <c r="J50" s="11" t="s">
        <v>52</v>
      </c>
      <c r="K50" s="11" t="s">
        <v>56</v>
      </c>
      <c r="L50" s="10" t="s">
        <v>4</v>
      </c>
      <c r="M50" s="10" t="s">
        <v>5</v>
      </c>
      <c r="N50" t="s">
        <v>232</v>
      </c>
    </row>
    <row r="51" spans="1:14" x14ac:dyDescent="0.3">
      <c r="A51" s="14">
        <v>33</v>
      </c>
      <c r="B51">
        <v>5955</v>
      </c>
      <c r="C51" t="s">
        <v>128</v>
      </c>
      <c r="D51" s="9">
        <v>28311022700929</v>
      </c>
      <c r="E51" s="5">
        <v>15000</v>
      </c>
      <c r="F51" s="5">
        <v>18</v>
      </c>
      <c r="G51" s="12" t="str">
        <f t="shared" si="1"/>
        <v>5078032011474144</v>
      </c>
      <c r="H51" s="3" t="s">
        <v>192</v>
      </c>
      <c r="I51" t="s">
        <v>229</v>
      </c>
      <c r="J51" s="11" t="s">
        <v>249</v>
      </c>
      <c r="K51" s="11" t="s">
        <v>247</v>
      </c>
      <c r="L51" s="10" t="s">
        <v>244</v>
      </c>
      <c r="M51" s="10" t="s">
        <v>5</v>
      </c>
      <c r="N51" t="s">
        <v>233</v>
      </c>
    </row>
    <row r="52" spans="1:14" x14ac:dyDescent="0.3">
      <c r="A52" s="14">
        <v>34</v>
      </c>
      <c r="B52">
        <v>5956</v>
      </c>
      <c r="C52" t="s">
        <v>129</v>
      </c>
      <c r="D52" s="9">
        <v>30011212701641</v>
      </c>
      <c r="E52" s="5">
        <v>10000</v>
      </c>
      <c r="F52" s="5">
        <v>12</v>
      </c>
      <c r="G52" s="12" t="str">
        <f t="shared" si="1"/>
        <v>5078032011474938</v>
      </c>
      <c r="H52" s="3" t="s">
        <v>193</v>
      </c>
      <c r="I52" t="s">
        <v>229</v>
      </c>
      <c r="J52" s="11" t="s">
        <v>252</v>
      </c>
      <c r="K52" s="11" t="s">
        <v>247</v>
      </c>
      <c r="L52" s="10" t="s">
        <v>244</v>
      </c>
      <c r="M52" s="10" t="s">
        <v>5</v>
      </c>
      <c r="N52" t="s">
        <v>233</v>
      </c>
    </row>
    <row r="53" spans="1:14" x14ac:dyDescent="0.3">
      <c r="A53" s="14">
        <v>35</v>
      </c>
      <c r="B53">
        <v>5957</v>
      </c>
      <c r="C53" t="s">
        <v>130</v>
      </c>
      <c r="D53" s="9">
        <v>29602242702131</v>
      </c>
      <c r="E53" s="5">
        <v>20000</v>
      </c>
      <c r="F53" s="5">
        <v>18</v>
      </c>
      <c r="G53" s="12" t="str">
        <f t="shared" si="1"/>
        <v>5078031331844044</v>
      </c>
      <c r="H53" s="3" t="s">
        <v>194</v>
      </c>
      <c r="I53" t="s">
        <v>224</v>
      </c>
      <c r="J53" s="11" t="s">
        <v>58</v>
      </c>
      <c r="K53" s="11" t="s">
        <v>57</v>
      </c>
      <c r="L53" s="10" t="s">
        <v>4</v>
      </c>
      <c r="M53" s="10" t="s">
        <v>5</v>
      </c>
      <c r="N53" t="s">
        <v>232</v>
      </c>
    </row>
    <row r="54" spans="1:14" x14ac:dyDescent="0.3">
      <c r="A54" s="14">
        <v>36</v>
      </c>
      <c r="B54">
        <v>5958</v>
      </c>
      <c r="C54" t="s">
        <v>131</v>
      </c>
      <c r="D54" s="9">
        <v>28208052700987</v>
      </c>
      <c r="E54" s="5">
        <v>20000</v>
      </c>
      <c r="F54" s="5">
        <v>18</v>
      </c>
      <c r="G54" s="12" t="str">
        <f t="shared" si="1"/>
        <v>5078032011474946</v>
      </c>
      <c r="H54" s="3" t="s">
        <v>195</v>
      </c>
      <c r="I54" t="s">
        <v>228</v>
      </c>
      <c r="J54" s="11" t="s">
        <v>254</v>
      </c>
      <c r="K54" s="11" t="s">
        <v>247</v>
      </c>
      <c r="L54" s="10" t="s">
        <v>244</v>
      </c>
      <c r="M54" s="10" t="s">
        <v>5</v>
      </c>
      <c r="N54" t="s">
        <v>233</v>
      </c>
    </row>
    <row r="55" spans="1:14" x14ac:dyDescent="0.3">
      <c r="A55" s="14">
        <v>37</v>
      </c>
      <c r="B55">
        <v>5959</v>
      </c>
      <c r="C55" t="s">
        <v>132</v>
      </c>
      <c r="D55" s="9">
        <v>27802122701094</v>
      </c>
      <c r="E55" s="5">
        <v>20000</v>
      </c>
      <c r="F55" s="5">
        <v>18</v>
      </c>
      <c r="G55" s="12" t="str">
        <f t="shared" si="1"/>
        <v>5078031370270267</v>
      </c>
      <c r="H55" s="3" t="s">
        <v>196</v>
      </c>
      <c r="I55" t="s">
        <v>228</v>
      </c>
      <c r="J55" s="11" t="s">
        <v>60</v>
      </c>
      <c r="K55" s="11" t="s">
        <v>59</v>
      </c>
      <c r="L55" s="10" t="s">
        <v>4</v>
      </c>
      <c r="M55" s="10" t="s">
        <v>5</v>
      </c>
      <c r="N55" t="s">
        <v>231</v>
      </c>
    </row>
    <row r="56" spans="1:14" x14ac:dyDescent="0.3">
      <c r="A56" s="14">
        <v>38</v>
      </c>
      <c r="B56">
        <v>5960</v>
      </c>
      <c r="C56" t="s">
        <v>133</v>
      </c>
      <c r="D56" s="9">
        <v>30112202702357</v>
      </c>
      <c r="E56" s="5">
        <v>15000</v>
      </c>
      <c r="F56" s="5">
        <v>18</v>
      </c>
      <c r="G56" s="12" t="str">
        <f t="shared" si="1"/>
        <v>5078031394578851</v>
      </c>
      <c r="H56" s="3" t="s">
        <v>197</v>
      </c>
      <c r="I56" t="s">
        <v>228</v>
      </c>
      <c r="J56" s="11" t="s">
        <v>62</v>
      </c>
      <c r="K56" s="11" t="s">
        <v>61</v>
      </c>
      <c r="L56" s="10" t="s">
        <v>4</v>
      </c>
      <c r="M56" s="10" t="s">
        <v>5</v>
      </c>
      <c r="N56" t="s">
        <v>232</v>
      </c>
    </row>
    <row r="57" spans="1:14" x14ac:dyDescent="0.3">
      <c r="A57" s="14">
        <v>39</v>
      </c>
      <c r="B57">
        <v>5962</v>
      </c>
      <c r="C57" t="s">
        <v>134</v>
      </c>
      <c r="D57" s="9">
        <v>28501142702481</v>
      </c>
      <c r="E57" s="5">
        <v>20000</v>
      </c>
      <c r="F57" s="5">
        <v>18</v>
      </c>
      <c r="G57" s="12" t="str">
        <f t="shared" si="1"/>
        <v>5078032011474102</v>
      </c>
      <c r="H57" s="3" t="s">
        <v>198</v>
      </c>
      <c r="I57" t="s">
        <v>230</v>
      </c>
      <c r="J57" s="11" t="s">
        <v>251</v>
      </c>
      <c r="K57" s="11" t="s">
        <v>247</v>
      </c>
      <c r="L57" s="10" t="s">
        <v>244</v>
      </c>
      <c r="M57" s="10" t="s">
        <v>5</v>
      </c>
      <c r="N57" t="s">
        <v>233</v>
      </c>
    </row>
    <row r="58" spans="1:14" x14ac:dyDescent="0.3">
      <c r="A58" s="14">
        <v>40</v>
      </c>
      <c r="B58" s="14">
        <v>5963</v>
      </c>
      <c r="C58" s="14" t="s">
        <v>135</v>
      </c>
      <c r="D58" s="15">
        <v>29811012704949</v>
      </c>
      <c r="E58" s="16">
        <v>20000</v>
      </c>
      <c r="F58" s="16">
        <v>18</v>
      </c>
      <c r="G58" s="17" t="str">
        <f t="shared" si="1"/>
        <v>5078032011474151</v>
      </c>
      <c r="H58" s="11" t="s">
        <v>199</v>
      </c>
      <c r="I58" s="14" t="s">
        <v>229</v>
      </c>
      <c r="J58" s="11" t="s">
        <v>338</v>
      </c>
      <c r="K58" s="11" t="s">
        <v>247</v>
      </c>
      <c r="L58" s="10" t="s">
        <v>244</v>
      </c>
      <c r="M58" s="10" t="s">
        <v>5</v>
      </c>
      <c r="N58" s="14" t="s">
        <v>233</v>
      </c>
    </row>
    <row r="59" spans="1:14" x14ac:dyDescent="0.3">
      <c r="A59" s="14">
        <v>41</v>
      </c>
      <c r="B59">
        <v>5964</v>
      </c>
      <c r="C59" t="s">
        <v>136</v>
      </c>
      <c r="D59" s="9">
        <v>28211012701027</v>
      </c>
      <c r="E59" s="5">
        <v>15000</v>
      </c>
      <c r="F59" s="5">
        <v>18</v>
      </c>
      <c r="G59" s="12" t="str">
        <f t="shared" si="1"/>
        <v>5078031389724205</v>
      </c>
      <c r="H59" s="3" t="s">
        <v>200</v>
      </c>
      <c r="I59" t="s">
        <v>225</v>
      </c>
      <c r="J59" s="11" t="s">
        <v>64</v>
      </c>
      <c r="K59" s="11" t="s">
        <v>63</v>
      </c>
      <c r="L59" s="10" t="s">
        <v>4</v>
      </c>
      <c r="M59" s="10" t="s">
        <v>5</v>
      </c>
      <c r="N59" t="s">
        <v>232</v>
      </c>
    </row>
    <row r="60" spans="1:14" x14ac:dyDescent="0.3">
      <c r="A60" s="14">
        <v>42</v>
      </c>
      <c r="B60">
        <v>5965</v>
      </c>
      <c r="C60" t="s">
        <v>137</v>
      </c>
      <c r="D60" s="9">
        <v>27409152700561</v>
      </c>
      <c r="E60" s="5">
        <v>10000</v>
      </c>
      <c r="F60" s="5">
        <v>18</v>
      </c>
      <c r="G60" s="12" t="str">
        <f t="shared" si="1"/>
        <v>5078032011474847</v>
      </c>
      <c r="H60" s="3" t="s">
        <v>201</v>
      </c>
      <c r="I60" t="s">
        <v>230</v>
      </c>
      <c r="J60" s="11" t="s">
        <v>255</v>
      </c>
      <c r="K60" s="11" t="s">
        <v>247</v>
      </c>
      <c r="L60" s="10" t="s">
        <v>244</v>
      </c>
      <c r="M60" s="10" t="s">
        <v>5</v>
      </c>
      <c r="N60" t="s">
        <v>233</v>
      </c>
    </row>
    <row r="61" spans="1:14" x14ac:dyDescent="0.3">
      <c r="A61" s="14">
        <v>43</v>
      </c>
      <c r="B61">
        <v>5966</v>
      </c>
      <c r="C61" t="s">
        <v>138</v>
      </c>
      <c r="D61" s="9">
        <v>29410012702054</v>
      </c>
      <c r="E61" s="5">
        <v>20000</v>
      </c>
      <c r="F61" s="5">
        <v>18</v>
      </c>
      <c r="G61" s="12" t="str">
        <f t="shared" si="1"/>
        <v>5078031371609281</v>
      </c>
      <c r="H61" s="3" t="s">
        <v>202</v>
      </c>
      <c r="I61" t="s">
        <v>226</v>
      </c>
      <c r="J61" s="11" t="s">
        <v>66</v>
      </c>
      <c r="K61" s="11" t="s">
        <v>65</v>
      </c>
      <c r="L61" s="10" t="s">
        <v>4</v>
      </c>
      <c r="M61" s="10" t="s">
        <v>5</v>
      </c>
      <c r="N61" t="s">
        <v>231</v>
      </c>
    </row>
    <row r="62" spans="1:14" x14ac:dyDescent="0.3">
      <c r="A62" s="14">
        <v>45</v>
      </c>
      <c r="B62">
        <v>5969</v>
      </c>
      <c r="C62" t="s">
        <v>140</v>
      </c>
      <c r="D62" s="9">
        <v>27401012701965</v>
      </c>
      <c r="E62" s="5">
        <v>20000</v>
      </c>
      <c r="F62" s="5">
        <v>18</v>
      </c>
      <c r="G62" s="12" t="str">
        <f t="shared" si="1"/>
        <v>5078031311555735</v>
      </c>
      <c r="H62" s="3" t="s">
        <v>204</v>
      </c>
      <c r="I62" t="s">
        <v>230</v>
      </c>
      <c r="J62" s="11" t="s">
        <v>70</v>
      </c>
      <c r="K62" s="11" t="s">
        <v>69</v>
      </c>
      <c r="L62" s="10" t="s">
        <v>4</v>
      </c>
      <c r="M62" s="10" t="s">
        <v>5</v>
      </c>
      <c r="N62" t="s">
        <v>231</v>
      </c>
    </row>
    <row r="63" spans="1:14" x14ac:dyDescent="0.3">
      <c r="A63" s="14">
        <v>46</v>
      </c>
      <c r="B63">
        <v>5970</v>
      </c>
      <c r="C63" t="s">
        <v>141</v>
      </c>
      <c r="D63" s="9">
        <v>29408232700708</v>
      </c>
      <c r="E63" s="5">
        <v>20000</v>
      </c>
      <c r="F63" s="5">
        <v>18</v>
      </c>
      <c r="G63" s="12" t="str">
        <f t="shared" si="1"/>
        <v>5078032011474870</v>
      </c>
      <c r="H63" s="3" t="s">
        <v>205</v>
      </c>
      <c r="I63" t="s">
        <v>230</v>
      </c>
      <c r="J63" s="11" t="s">
        <v>256</v>
      </c>
      <c r="K63" s="11" t="s">
        <v>247</v>
      </c>
      <c r="L63" s="10" t="s">
        <v>244</v>
      </c>
      <c r="M63" s="10" t="s">
        <v>5</v>
      </c>
      <c r="N63" t="s">
        <v>233</v>
      </c>
    </row>
    <row r="64" spans="1:14" x14ac:dyDescent="0.3">
      <c r="A64" s="14">
        <v>47</v>
      </c>
      <c r="B64">
        <v>5971</v>
      </c>
      <c r="C64" t="s">
        <v>142</v>
      </c>
      <c r="D64" s="9">
        <v>28912232701344</v>
      </c>
      <c r="E64" s="5">
        <v>12000</v>
      </c>
      <c r="F64" s="5">
        <v>18</v>
      </c>
      <c r="G64" s="12" t="str">
        <f t="shared" si="1"/>
        <v>5078032011474862</v>
      </c>
      <c r="H64" s="3" t="s">
        <v>206</v>
      </c>
      <c r="I64" t="s">
        <v>226</v>
      </c>
      <c r="J64" s="11" t="s">
        <v>248</v>
      </c>
      <c r="K64" s="11" t="s">
        <v>247</v>
      </c>
      <c r="L64" s="10" t="s">
        <v>244</v>
      </c>
      <c r="M64" s="10" t="s">
        <v>5</v>
      </c>
      <c r="N64" t="s">
        <v>233</v>
      </c>
    </row>
    <row r="65" spans="1:15" x14ac:dyDescent="0.3">
      <c r="A65" s="14">
        <v>48</v>
      </c>
      <c r="B65">
        <v>5972</v>
      </c>
      <c r="C65" t="s">
        <v>143</v>
      </c>
      <c r="D65" s="9">
        <v>27010272700831</v>
      </c>
      <c r="E65" s="5">
        <v>20000</v>
      </c>
      <c r="F65" s="5">
        <v>18</v>
      </c>
      <c r="G65" s="12" t="str">
        <f t="shared" si="1"/>
        <v>5078031365699967</v>
      </c>
      <c r="H65" s="3" t="s">
        <v>207</v>
      </c>
      <c r="I65" t="s">
        <v>226</v>
      </c>
      <c r="J65" s="11" t="s">
        <v>72</v>
      </c>
      <c r="K65" s="11" t="s">
        <v>71</v>
      </c>
      <c r="L65" s="10" t="s">
        <v>4</v>
      </c>
      <c r="M65" s="10" t="s">
        <v>5</v>
      </c>
      <c r="N65" t="s">
        <v>231</v>
      </c>
    </row>
    <row r="66" spans="1:15" x14ac:dyDescent="0.3">
      <c r="A66" s="14">
        <v>49</v>
      </c>
      <c r="B66">
        <v>5973</v>
      </c>
      <c r="C66" t="s">
        <v>144</v>
      </c>
      <c r="D66" s="9">
        <v>27407260103207</v>
      </c>
      <c r="E66" s="5">
        <v>15000</v>
      </c>
      <c r="F66" s="5">
        <v>18</v>
      </c>
      <c r="G66" s="12" t="str">
        <f t="shared" ref="G66:G82" si="2">CONCATENATE(M66,L66,K66,J66)</f>
        <v>5078031318813111</v>
      </c>
      <c r="H66" s="3" t="s">
        <v>208</v>
      </c>
      <c r="I66" t="s">
        <v>224</v>
      </c>
      <c r="J66" s="11" t="s">
        <v>344</v>
      </c>
      <c r="K66" s="11" t="s">
        <v>343</v>
      </c>
      <c r="L66" s="10" t="s">
        <v>4</v>
      </c>
      <c r="M66" s="10" t="s">
        <v>5</v>
      </c>
      <c r="N66" t="s">
        <v>232</v>
      </c>
      <c r="O66" t="s">
        <v>337</v>
      </c>
    </row>
    <row r="67" spans="1:15" x14ac:dyDescent="0.3">
      <c r="A67" s="14">
        <v>50</v>
      </c>
      <c r="B67">
        <v>5974</v>
      </c>
      <c r="C67" t="s">
        <v>145</v>
      </c>
      <c r="D67" s="9">
        <v>28301052700669</v>
      </c>
      <c r="E67" s="5">
        <v>20000</v>
      </c>
      <c r="F67" s="5">
        <v>18</v>
      </c>
      <c r="G67" s="12" t="str">
        <f t="shared" si="2"/>
        <v>5078031344957106</v>
      </c>
      <c r="H67" s="3" t="s">
        <v>209</v>
      </c>
      <c r="I67" t="s">
        <v>225</v>
      </c>
      <c r="J67" s="11" t="s">
        <v>74</v>
      </c>
      <c r="K67" s="11" t="s">
        <v>73</v>
      </c>
      <c r="L67" s="10" t="s">
        <v>4</v>
      </c>
      <c r="M67" s="10" t="s">
        <v>5</v>
      </c>
      <c r="N67" t="s">
        <v>231</v>
      </c>
      <c r="O67" t="s">
        <v>337</v>
      </c>
    </row>
    <row r="68" spans="1:15" x14ac:dyDescent="0.3">
      <c r="A68" s="14">
        <v>52</v>
      </c>
      <c r="B68">
        <v>5976</v>
      </c>
      <c r="C68" t="s">
        <v>147</v>
      </c>
      <c r="D68" s="9">
        <v>26505222700551</v>
      </c>
      <c r="E68" s="5">
        <v>20000</v>
      </c>
      <c r="F68" s="5">
        <v>18</v>
      </c>
      <c r="G68" s="12" t="str">
        <f t="shared" si="2"/>
        <v>5078031351785085</v>
      </c>
      <c r="H68" s="3" t="s">
        <v>211</v>
      </c>
      <c r="I68" t="s">
        <v>225</v>
      </c>
      <c r="J68" s="11" t="s">
        <v>78</v>
      </c>
      <c r="K68" s="11" t="s">
        <v>77</v>
      </c>
      <c r="L68" s="10" t="s">
        <v>4</v>
      </c>
      <c r="M68" s="10" t="s">
        <v>5</v>
      </c>
      <c r="N68" t="s">
        <v>231</v>
      </c>
      <c r="O68" t="s">
        <v>337</v>
      </c>
    </row>
    <row r="69" spans="1:15" x14ac:dyDescent="0.3">
      <c r="A69" s="14">
        <v>53</v>
      </c>
      <c r="B69">
        <v>5977</v>
      </c>
      <c r="C69" t="s">
        <v>148</v>
      </c>
      <c r="D69" s="9">
        <v>30304062704202</v>
      </c>
      <c r="E69" s="5">
        <v>15000</v>
      </c>
      <c r="F69" s="5">
        <v>18</v>
      </c>
      <c r="G69" s="12" t="str">
        <f t="shared" si="2"/>
        <v>5078031333669746</v>
      </c>
      <c r="H69" s="3" t="s">
        <v>212</v>
      </c>
      <c r="I69" t="s">
        <v>225</v>
      </c>
      <c r="J69" s="11" t="s">
        <v>80</v>
      </c>
      <c r="K69" s="11" t="s">
        <v>79</v>
      </c>
      <c r="L69" s="10" t="s">
        <v>4</v>
      </c>
      <c r="M69" s="10" t="s">
        <v>5</v>
      </c>
      <c r="N69" t="s">
        <v>232</v>
      </c>
      <c r="O69" t="s">
        <v>337</v>
      </c>
    </row>
    <row r="70" spans="1:15" x14ac:dyDescent="0.3">
      <c r="A70" s="14">
        <v>54</v>
      </c>
      <c r="B70">
        <v>5978</v>
      </c>
      <c r="C70" t="s">
        <v>149</v>
      </c>
      <c r="D70" s="9">
        <v>27206162700226</v>
      </c>
      <c r="E70" s="5">
        <v>15000</v>
      </c>
      <c r="F70" s="5">
        <v>18</v>
      </c>
      <c r="G70" s="12" t="str">
        <f t="shared" si="2"/>
        <v>5078031302199865</v>
      </c>
      <c r="H70" s="3" t="s">
        <v>213</v>
      </c>
      <c r="I70" t="s">
        <v>226</v>
      </c>
      <c r="J70" s="11" t="s">
        <v>82</v>
      </c>
      <c r="K70" s="11" t="s">
        <v>81</v>
      </c>
      <c r="L70" s="10" t="s">
        <v>4</v>
      </c>
      <c r="M70" s="10" t="s">
        <v>5</v>
      </c>
      <c r="N70" t="s">
        <v>232</v>
      </c>
      <c r="O70" t="s">
        <v>337</v>
      </c>
    </row>
    <row r="71" spans="1:15" x14ac:dyDescent="0.3">
      <c r="A71" s="14">
        <v>55</v>
      </c>
      <c r="B71">
        <v>5979</v>
      </c>
      <c r="C71" t="s">
        <v>150</v>
      </c>
      <c r="D71" s="9">
        <v>29205212700827</v>
      </c>
      <c r="E71" s="5">
        <v>10000</v>
      </c>
      <c r="F71" s="5">
        <v>18</v>
      </c>
      <c r="G71" s="12" t="str">
        <f t="shared" si="2"/>
        <v>5078032011474854</v>
      </c>
      <c r="H71" s="3" t="s">
        <v>214</v>
      </c>
      <c r="I71" t="s">
        <v>229</v>
      </c>
      <c r="J71" s="11" t="s">
        <v>253</v>
      </c>
      <c r="K71" s="11" t="s">
        <v>247</v>
      </c>
      <c r="L71" s="10" t="s">
        <v>244</v>
      </c>
      <c r="M71" s="10" t="s">
        <v>5</v>
      </c>
      <c r="N71" t="s">
        <v>233</v>
      </c>
      <c r="O71" t="s">
        <v>337</v>
      </c>
    </row>
    <row r="72" spans="1:15" x14ac:dyDescent="0.3">
      <c r="A72" s="14">
        <v>56</v>
      </c>
      <c r="B72">
        <v>5980</v>
      </c>
      <c r="C72" t="s">
        <v>151</v>
      </c>
      <c r="D72" s="9">
        <v>29206012702163</v>
      </c>
      <c r="E72" s="5">
        <v>20000</v>
      </c>
      <c r="F72" s="5">
        <v>18</v>
      </c>
      <c r="G72" s="12" t="str">
        <f t="shared" si="2"/>
        <v>5078032011474128</v>
      </c>
      <c r="H72" s="3" t="s">
        <v>215</v>
      </c>
      <c r="I72" t="s">
        <v>226</v>
      </c>
      <c r="J72" s="11" t="s">
        <v>257</v>
      </c>
      <c r="K72" s="11" t="s">
        <v>247</v>
      </c>
      <c r="L72" s="10" t="s">
        <v>244</v>
      </c>
      <c r="M72" s="10" t="s">
        <v>5</v>
      </c>
      <c r="N72" t="s">
        <v>233</v>
      </c>
      <c r="O72" t="s">
        <v>337</v>
      </c>
    </row>
    <row r="73" spans="1:15" x14ac:dyDescent="0.3">
      <c r="A73" s="14">
        <v>57</v>
      </c>
      <c r="B73">
        <v>5981</v>
      </c>
      <c r="C73" t="s">
        <v>152</v>
      </c>
      <c r="D73" s="9">
        <v>28407142701829</v>
      </c>
      <c r="E73" s="5">
        <v>20000</v>
      </c>
      <c r="F73" s="5">
        <v>18</v>
      </c>
      <c r="G73" s="12" t="str">
        <f t="shared" si="2"/>
        <v>5078032011474896</v>
      </c>
      <c r="H73" s="3" t="s">
        <v>216</v>
      </c>
      <c r="I73" t="s">
        <v>227</v>
      </c>
      <c r="J73" s="11" t="s">
        <v>258</v>
      </c>
      <c r="K73" s="11" t="s">
        <v>247</v>
      </c>
      <c r="L73" s="10" t="s">
        <v>244</v>
      </c>
      <c r="M73" s="10" t="s">
        <v>5</v>
      </c>
      <c r="N73" t="s">
        <v>233</v>
      </c>
      <c r="O73" t="s">
        <v>337</v>
      </c>
    </row>
    <row r="74" spans="1:15" x14ac:dyDescent="0.3">
      <c r="A74" s="14">
        <v>60</v>
      </c>
      <c r="B74">
        <v>5984</v>
      </c>
      <c r="C74" t="s">
        <v>155</v>
      </c>
      <c r="D74" s="9">
        <v>30306152704085</v>
      </c>
      <c r="E74" s="5">
        <v>10000</v>
      </c>
      <c r="F74" s="5">
        <v>18</v>
      </c>
      <c r="G74" s="12" t="str">
        <f t="shared" si="2"/>
        <v>5078031394964325</v>
      </c>
      <c r="H74" s="3" t="s">
        <v>219</v>
      </c>
      <c r="I74" t="s">
        <v>228</v>
      </c>
      <c r="J74" s="11" t="s">
        <v>88</v>
      </c>
      <c r="K74" s="11" t="s">
        <v>87</v>
      </c>
      <c r="L74" s="10" t="s">
        <v>4</v>
      </c>
      <c r="M74" s="10" t="s">
        <v>5</v>
      </c>
      <c r="N74" t="s">
        <v>232</v>
      </c>
      <c r="O74" t="s">
        <v>337</v>
      </c>
    </row>
    <row r="75" spans="1:15" x14ac:dyDescent="0.3">
      <c r="A75" s="14">
        <v>61</v>
      </c>
      <c r="B75">
        <v>5985</v>
      </c>
      <c r="C75" t="s">
        <v>156</v>
      </c>
      <c r="D75" s="9">
        <v>28905242700188</v>
      </c>
      <c r="E75" s="5">
        <v>10000</v>
      </c>
      <c r="F75" s="5">
        <v>18</v>
      </c>
      <c r="G75" s="12" t="str">
        <f t="shared" si="2"/>
        <v>5078031314215097</v>
      </c>
      <c r="H75" s="3" t="s">
        <v>220</v>
      </c>
      <c r="I75" t="s">
        <v>224</v>
      </c>
      <c r="J75" s="11" t="s">
        <v>90</v>
      </c>
      <c r="K75" s="11" t="s">
        <v>89</v>
      </c>
      <c r="L75" s="10" t="s">
        <v>4</v>
      </c>
      <c r="M75" s="10" t="s">
        <v>5</v>
      </c>
      <c r="N75" t="s">
        <v>232</v>
      </c>
      <c r="O75" t="s">
        <v>337</v>
      </c>
    </row>
    <row r="76" spans="1:15" x14ac:dyDescent="0.3">
      <c r="A76" s="14">
        <v>62</v>
      </c>
      <c r="B76">
        <v>5986</v>
      </c>
      <c r="C76" t="s">
        <v>157</v>
      </c>
      <c r="D76" s="9">
        <v>26511242703335</v>
      </c>
      <c r="E76" s="5">
        <v>5000</v>
      </c>
      <c r="F76" s="5">
        <v>12</v>
      </c>
      <c r="G76" s="12" t="str">
        <f t="shared" si="2"/>
        <v>5078031374921261</v>
      </c>
      <c r="H76" s="3" t="s">
        <v>221</v>
      </c>
      <c r="I76" t="s">
        <v>227</v>
      </c>
      <c r="J76" s="11" t="s">
        <v>92</v>
      </c>
      <c r="K76" s="11" t="s">
        <v>91</v>
      </c>
      <c r="L76" s="10" t="s">
        <v>4</v>
      </c>
      <c r="M76" s="10" t="s">
        <v>5</v>
      </c>
      <c r="N76" t="s">
        <v>232</v>
      </c>
      <c r="O76" t="s">
        <v>337</v>
      </c>
    </row>
    <row r="77" spans="1:15" x14ac:dyDescent="0.3">
      <c r="A77" s="14">
        <v>63</v>
      </c>
      <c r="B77">
        <v>5987</v>
      </c>
      <c r="C77" t="s">
        <v>158</v>
      </c>
      <c r="D77" s="9">
        <v>30102172701339</v>
      </c>
      <c r="E77" s="5">
        <v>10000</v>
      </c>
      <c r="F77" s="5">
        <v>18</v>
      </c>
      <c r="G77" s="12" t="str">
        <f t="shared" si="2"/>
        <v>5078031351482691</v>
      </c>
      <c r="H77" s="3" t="s">
        <v>222</v>
      </c>
      <c r="I77" t="s">
        <v>227</v>
      </c>
      <c r="J77" s="11" t="s">
        <v>93</v>
      </c>
      <c r="K77" s="11" t="s">
        <v>53</v>
      </c>
      <c r="L77" s="10" t="s">
        <v>4</v>
      </c>
      <c r="M77" s="10" t="s">
        <v>5</v>
      </c>
      <c r="N77" t="s">
        <v>232</v>
      </c>
      <c r="O77" t="s">
        <v>337</v>
      </c>
    </row>
    <row r="78" spans="1:15" x14ac:dyDescent="0.3">
      <c r="A78" s="14">
        <v>64</v>
      </c>
      <c r="B78">
        <v>5988</v>
      </c>
      <c r="C78" t="s">
        <v>159</v>
      </c>
      <c r="D78" s="9">
        <v>27711152700895</v>
      </c>
      <c r="E78" s="5">
        <v>20000</v>
      </c>
      <c r="F78" s="5">
        <v>18</v>
      </c>
      <c r="G78" s="12" t="str">
        <f t="shared" si="2"/>
        <v>5078031376469673</v>
      </c>
      <c r="H78" s="3" t="s">
        <v>223</v>
      </c>
      <c r="I78" t="s">
        <v>227</v>
      </c>
      <c r="J78" s="11" t="s">
        <v>95</v>
      </c>
      <c r="K78" s="11" t="s">
        <v>94</v>
      </c>
      <c r="L78" s="10" t="s">
        <v>4</v>
      </c>
      <c r="M78" s="10" t="s">
        <v>5</v>
      </c>
      <c r="N78" t="s">
        <v>231</v>
      </c>
      <c r="O78" t="s">
        <v>337</v>
      </c>
    </row>
    <row r="79" spans="1:15" x14ac:dyDescent="0.3">
      <c r="A79" s="14">
        <v>69</v>
      </c>
      <c r="B79">
        <v>5989</v>
      </c>
      <c r="C79" t="s">
        <v>275</v>
      </c>
      <c r="D79" s="9">
        <v>28506032701031</v>
      </c>
      <c r="E79" s="5">
        <v>20000</v>
      </c>
      <c r="F79" s="5">
        <v>18</v>
      </c>
      <c r="G79" s="12" t="str">
        <f t="shared" si="2"/>
        <v>5078031336587556</v>
      </c>
      <c r="H79" s="3" t="s">
        <v>298</v>
      </c>
      <c r="I79" t="s">
        <v>226</v>
      </c>
      <c r="J79" s="11" t="s">
        <v>299</v>
      </c>
      <c r="K79" s="11" t="s">
        <v>300</v>
      </c>
      <c r="L79" s="10" t="s">
        <v>4</v>
      </c>
      <c r="M79" s="10" t="s">
        <v>5</v>
      </c>
      <c r="N79" t="s">
        <v>231</v>
      </c>
      <c r="O79" t="s">
        <v>337</v>
      </c>
    </row>
    <row r="80" spans="1:15" x14ac:dyDescent="0.3">
      <c r="A80" s="14">
        <v>70</v>
      </c>
      <c r="B80">
        <v>5990</v>
      </c>
      <c r="C80" t="s">
        <v>276</v>
      </c>
      <c r="D80" s="9">
        <v>28801022703631</v>
      </c>
      <c r="E80" s="5">
        <v>10000</v>
      </c>
      <c r="F80" s="5">
        <v>18</v>
      </c>
      <c r="G80" s="12" t="str">
        <f t="shared" si="2"/>
        <v>5078031389293334</v>
      </c>
      <c r="H80" s="3" t="s">
        <v>301</v>
      </c>
      <c r="I80" t="s">
        <v>226</v>
      </c>
      <c r="J80" s="11" t="s">
        <v>302</v>
      </c>
      <c r="K80" s="11" t="s">
        <v>303</v>
      </c>
      <c r="L80" s="10" t="s">
        <v>4</v>
      </c>
      <c r="M80" s="10" t="s">
        <v>5</v>
      </c>
      <c r="N80" t="s">
        <v>231</v>
      </c>
      <c r="O80" t="s">
        <v>337</v>
      </c>
    </row>
    <row r="81" spans="1:15" x14ac:dyDescent="0.3">
      <c r="A81" s="14">
        <v>75</v>
      </c>
      <c r="B81">
        <v>5995</v>
      </c>
      <c r="C81" t="s">
        <v>281</v>
      </c>
      <c r="D81" s="9">
        <v>26702072702649</v>
      </c>
      <c r="E81" s="5">
        <v>8000</v>
      </c>
      <c r="F81" s="5">
        <v>18</v>
      </c>
      <c r="G81" s="12" t="str">
        <f t="shared" si="2"/>
        <v>5078031354710239</v>
      </c>
      <c r="H81" s="3" t="s">
        <v>316</v>
      </c>
      <c r="I81" t="s">
        <v>227</v>
      </c>
      <c r="J81" s="11" t="s">
        <v>317</v>
      </c>
      <c r="K81" s="11" t="s">
        <v>318</v>
      </c>
      <c r="L81" s="10" t="s">
        <v>4</v>
      </c>
      <c r="M81" s="10" t="s">
        <v>5</v>
      </c>
      <c r="N81" t="s">
        <v>231</v>
      </c>
      <c r="O81" t="s">
        <v>337</v>
      </c>
    </row>
    <row r="82" spans="1:15" x14ac:dyDescent="0.3">
      <c r="A82" s="14">
        <v>81</v>
      </c>
      <c r="B82">
        <v>6001</v>
      </c>
      <c r="C82" t="s">
        <v>287</v>
      </c>
      <c r="D82" s="9">
        <v>28312112702064</v>
      </c>
      <c r="E82" s="5">
        <v>20000</v>
      </c>
      <c r="F82" s="5">
        <v>12</v>
      </c>
      <c r="G82" s="12" t="str">
        <f t="shared" si="2"/>
        <v>5078031359666410</v>
      </c>
      <c r="H82" s="3" t="s">
        <v>334</v>
      </c>
      <c r="I82" t="s">
        <v>228</v>
      </c>
      <c r="J82" s="11" t="s">
        <v>335</v>
      </c>
      <c r="K82" s="11" t="s">
        <v>336</v>
      </c>
      <c r="L82" s="10" t="s">
        <v>4</v>
      </c>
      <c r="M82" s="10" t="s">
        <v>5</v>
      </c>
      <c r="N82" t="s">
        <v>231</v>
      </c>
      <c r="O82" t="s">
        <v>337</v>
      </c>
    </row>
    <row r="86" spans="1:15" x14ac:dyDescent="0.3">
      <c r="B86">
        <v>5973</v>
      </c>
    </row>
  </sheetData>
  <autoFilter ref="A1:N66">
    <sortState ref="A2:N82">
      <sortCondition sortBy="cellColor" ref="B1:B66" dxfId="6"/>
    </sortState>
  </autoFilter>
  <conditionalFormatting sqref="C1:C1048576">
    <cfRule type="duplicateValues" dxfId="5" priority="12"/>
  </conditionalFormatting>
  <conditionalFormatting sqref="B1:B73 B75:B1048576">
    <cfRule type="duplicateValues" dxfId="4" priority="11"/>
  </conditionalFormatting>
  <conditionalFormatting sqref="A43:N65 A41:I42 N41:N42 P41:S42 A2:N40 G66:G82 A66:A82">
    <cfRule type="expression" dxfId="3" priority="7">
      <formula>ROW()=CELL("row")</formula>
    </cfRule>
  </conditionalFormatting>
  <conditionalFormatting sqref="K1:K40 K43:K1048576 Q41:Q42">
    <cfRule type="duplicateValues" dxfId="2" priority="26"/>
  </conditionalFormatting>
  <conditionalFormatting sqref="J1:J40 J43:J1048576 P41:P42">
    <cfRule type="duplicateValues" dxfId="1" priority="34"/>
  </conditionalFormatting>
  <conditionalFormatting sqref="B1:B1048576">
    <cfRule type="duplicateValues" dxfId="0" priority="1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2015-06-05T18:17:20Z</dcterms:created>
  <dcterms:modified xsi:type="dcterms:W3CDTF">2024-07-24T06:05:41Z</dcterms:modified>
</cp:coreProperties>
</file>