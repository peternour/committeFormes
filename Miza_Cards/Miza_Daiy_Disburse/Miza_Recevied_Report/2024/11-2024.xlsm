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Sheet1!$A$1:$N$1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4" i="1" l="1"/>
  <c r="G2" i="1"/>
  <c r="G7" i="1"/>
  <c r="G45" i="1"/>
  <c r="G46" i="1"/>
  <c r="G8" i="1"/>
  <c r="G47" i="1"/>
  <c r="G48" i="1"/>
  <c r="G3" i="1"/>
  <c r="G4" i="1"/>
  <c r="G10" i="1" l="1"/>
  <c r="G40" i="1" l="1"/>
  <c r="G9" i="1"/>
  <c r="G37" i="1"/>
  <c r="G12" i="1"/>
  <c r="G38" i="1"/>
  <c r="G41" i="1"/>
  <c r="G21" i="1"/>
  <c r="G39" i="1"/>
  <c r="G11" i="1"/>
  <c r="G42" i="1"/>
  <c r="G43" i="1"/>
  <c r="G35" i="1" l="1"/>
  <c r="G36" i="1"/>
  <c r="G13" i="1"/>
  <c r="G14" i="1"/>
  <c r="G15" i="1"/>
  <c r="G5" i="1"/>
  <c r="G6" i="1"/>
  <c r="G16" i="1"/>
  <c r="G17" i="1"/>
  <c r="G18" i="1"/>
  <c r="G19" i="1"/>
  <c r="G20" i="1"/>
  <c r="G22" i="1"/>
  <c r="G27" i="1"/>
  <c r="G23" i="1"/>
  <c r="G28" i="1"/>
  <c r="G24" i="1"/>
  <c r="G29" i="1"/>
  <c r="G30" i="1"/>
  <c r="G31" i="1"/>
  <c r="G25" i="1"/>
  <c r="G26" i="1"/>
  <c r="G32" i="1"/>
  <c r="G33" i="1"/>
  <c r="G34" i="1"/>
</calcChain>
</file>

<file path=xl/sharedStrings.xml><?xml version="1.0" encoding="utf-8"?>
<sst xmlns="http://schemas.openxmlformats.org/spreadsheetml/2006/main" count="390" uniqueCount="214">
  <si>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</si>
  <si>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</si>
  <si>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</si>
  <si>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</si>
  <si>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</si>
  <si>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</si>
  <si>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</si>
  <si>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</si>
  <si>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</si>
  <si>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</si>
  <si>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</si>
  <si>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</si>
  <si>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</si>
  <si>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</si>
  <si>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</si>
  <si>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</si>
  <si>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2352</t>
  </si>
  <si>
    <t>6344</t>
  </si>
  <si>
    <t>9266</t>
  </si>
  <si>
    <t>2541</t>
  </si>
  <si>
    <t>4052</t>
  </si>
  <si>
    <t>8356</t>
  </si>
  <si>
    <t>6892</t>
  </si>
  <si>
    <t>0089</t>
  </si>
  <si>
    <t>5022</t>
  </si>
  <si>
    <t>4235</t>
  </si>
  <si>
    <t>1336</t>
  </si>
  <si>
    <t>2064</t>
  </si>
  <si>
    <t>5181</t>
  </si>
  <si>
    <t>9801</t>
  </si>
  <si>
    <t>2271</t>
  </si>
  <si>
    <t>8538</t>
  </si>
  <si>
    <t>3144</t>
  </si>
  <si>
    <t>1379</t>
  </si>
  <si>
    <t>9753</t>
  </si>
  <si>
    <t>0115</t>
  </si>
  <si>
    <t>4841</t>
  </si>
  <si>
    <t>6661</t>
  </si>
  <si>
    <t>3773</t>
  </si>
  <si>
    <t>7630</t>
  </si>
  <si>
    <t>3953</t>
  </si>
  <si>
    <t>7335</t>
  </si>
  <si>
    <t>7990</t>
  </si>
  <si>
    <t>7570</t>
  </si>
  <si>
    <t>4147</t>
  </si>
  <si>
    <t>7710</t>
  </si>
  <si>
    <t>4010</t>
  </si>
  <si>
    <t>3929</t>
  </si>
  <si>
    <t>8405</t>
  </si>
  <si>
    <t>8450</t>
  </si>
  <si>
    <t>0747</t>
  </si>
  <si>
    <t>3794</t>
  </si>
  <si>
    <t>3044</t>
  </si>
  <si>
    <t>2220</t>
  </si>
  <si>
    <t>2244</t>
  </si>
  <si>
    <t>9548</t>
  </si>
  <si>
    <t>هبه ابوبكر ابوالفضل كرام</t>
  </si>
  <si>
    <t>رابعه ابوبكر ابوالفضل اكرام</t>
  </si>
  <si>
    <t>محمد السيد محمد محمداحمد</t>
  </si>
  <si>
    <t>خرستيان القمص عبدالمسيح القمص باخوم القمص حنين</t>
  </si>
  <si>
    <t>منال بركات ابراهيم محمود</t>
  </si>
  <si>
    <t>وجيه نظيم بندري داود</t>
  </si>
  <si>
    <t>سلوي رزق الله اسحق يوسف</t>
  </si>
  <si>
    <t>مرفت محمد عبدالسلام علي</t>
  </si>
  <si>
    <t>مصطفي محمود عبداللاه محمد</t>
  </si>
  <si>
    <t>احمد حربي محمد محمد</t>
  </si>
  <si>
    <t>منال صابر محمد قناوي</t>
  </si>
  <si>
    <t>ناهد محمد حمدي امين</t>
  </si>
  <si>
    <t>احلام محمد حسين علي</t>
  </si>
  <si>
    <t>سحر عبدالحفيظ عبدالموجود حماده</t>
  </si>
  <si>
    <t>شيماء سعد احمد عبدربه</t>
  </si>
  <si>
    <t>ايمان عبدالجيد عبدالحميد علام</t>
  </si>
  <si>
    <t>رحمه نصرالدين ابوالمجد المديري</t>
  </si>
  <si>
    <t>خلف عبدالستار عثمان علي</t>
  </si>
  <si>
    <t>عبدالحفيظ محمد عبدالباقي محمد</t>
  </si>
  <si>
    <t>ساميه خليل اسكندر جاد</t>
  </si>
  <si>
    <t>محمود علي محمد علام</t>
  </si>
  <si>
    <t>نجلاء علي احمد علي</t>
  </si>
  <si>
    <t>يوسف بركات كامل بقطر</t>
  </si>
  <si>
    <t>حمام عبدالعليم محمد حسين</t>
  </si>
  <si>
    <t>محمود محسن عبدالرحيم علي</t>
  </si>
  <si>
    <t>01063284863</t>
  </si>
  <si>
    <t>01020303422</t>
  </si>
  <si>
    <t>01115759088</t>
  </si>
  <si>
    <t>01284030258</t>
  </si>
  <si>
    <t>01029330038</t>
  </si>
  <si>
    <t>01287252218</t>
  </si>
  <si>
    <t>01285181774</t>
  </si>
  <si>
    <t>01040557085</t>
  </si>
  <si>
    <t>01027381803</t>
  </si>
  <si>
    <t>01064928956</t>
  </si>
  <si>
    <t>01019454130</t>
  </si>
  <si>
    <t>01017396301</t>
  </si>
  <si>
    <t>01016003273</t>
  </si>
  <si>
    <t>01000595365</t>
  </si>
  <si>
    <t>01122645159</t>
  </si>
  <si>
    <t>01040520401</t>
  </si>
  <si>
    <t>01068970121</t>
  </si>
  <si>
    <t>01064704237</t>
  </si>
  <si>
    <t>01060515908</t>
  </si>
  <si>
    <t>01113919306</t>
  </si>
  <si>
    <t>01027942430</t>
  </si>
  <si>
    <t>01011358315</t>
  </si>
  <si>
    <t>01557754154</t>
  </si>
  <si>
    <t>01100980757</t>
  </si>
  <si>
    <t>01026962182</t>
  </si>
  <si>
    <t>مينا مخلف نسيم</t>
  </si>
  <si>
    <t>اميل رفعت حبيب بساده</t>
  </si>
  <si>
    <t>نصحى مقار نصحى</t>
  </si>
  <si>
    <t>كيرلس عاطف ثابت</t>
  </si>
  <si>
    <t>ابانوب عاطف سعدى</t>
  </si>
  <si>
    <t>تمكين السيدات اجتماعياً واقتصادياً</t>
  </si>
  <si>
    <t>البنك الاهلى المصري</t>
  </si>
  <si>
    <t>ايدي في ايدك</t>
  </si>
  <si>
    <t>0320</t>
  </si>
  <si>
    <t>1098</t>
  </si>
  <si>
    <t>9472</t>
  </si>
  <si>
    <t>9464</t>
  </si>
  <si>
    <t>9236</t>
  </si>
  <si>
    <t>3736</t>
  </si>
  <si>
    <t>سميره القس شنوده يوحنا حبيب</t>
  </si>
  <si>
    <t>احمد عبدالرزاق الطيب محمد</t>
  </si>
  <si>
    <t>سنيه حسن جاد حسن</t>
  </si>
  <si>
    <t>ناديه سعيد ابراهيم احمد</t>
  </si>
  <si>
    <t>عطيتو عثمان علي عثمان</t>
  </si>
  <si>
    <t>رضا محمد عبادي احمد</t>
  </si>
  <si>
    <t>ياسمين سعد علي محمد</t>
  </si>
  <si>
    <t>نصره منتياس فخري فيلبس</t>
  </si>
  <si>
    <t>شيماء محمد فاوي محمد المغربي</t>
  </si>
  <si>
    <t>احمد خالد سعد محمود</t>
  </si>
  <si>
    <t>عمر مهلاوي احمد فراج</t>
  </si>
  <si>
    <t>كوثر احمد محمود حفني</t>
  </si>
  <si>
    <t>01272226329</t>
  </si>
  <si>
    <t>جمعية الصعيد للتربية و التنمية</t>
  </si>
  <si>
    <t>01012162565</t>
  </si>
  <si>
    <t>تمويل البنك الاهلي المصري</t>
  </si>
  <si>
    <t>01142908841</t>
  </si>
  <si>
    <t>01024437991</t>
  </si>
  <si>
    <t>01552446733</t>
  </si>
  <si>
    <t>9629</t>
  </si>
  <si>
    <t>0760</t>
  </si>
  <si>
    <t>01022828782</t>
  </si>
  <si>
    <t>01009170084</t>
  </si>
  <si>
    <t>2487</t>
  </si>
  <si>
    <t>6037</t>
  </si>
  <si>
    <t>01146068313</t>
  </si>
  <si>
    <t>الهيئة الاسبانية للترويج الاجتماعي</t>
  </si>
  <si>
    <t>01060533088</t>
  </si>
  <si>
    <t>01155657118</t>
  </si>
  <si>
    <t>3712</t>
  </si>
  <si>
    <t>6164</t>
  </si>
  <si>
    <t>01090599309</t>
  </si>
  <si>
    <t>6868</t>
  </si>
  <si>
    <t>2945</t>
  </si>
  <si>
    <t>٠١٠٦٣٨١٩٢٤٤</t>
  </si>
  <si>
    <t>3092</t>
  </si>
  <si>
    <t>1405</t>
  </si>
  <si>
    <t>6861</t>
  </si>
  <si>
    <t>6505</t>
  </si>
  <si>
    <t>3832</t>
  </si>
  <si>
    <t>8694</t>
  </si>
  <si>
    <t>5641</t>
  </si>
  <si>
    <t>9888</t>
  </si>
  <si>
    <t>5921</t>
  </si>
  <si>
    <t>1704</t>
  </si>
  <si>
    <t>5471</t>
  </si>
  <si>
    <t>6533</t>
  </si>
  <si>
    <t>4164</t>
  </si>
  <si>
    <t>8880</t>
  </si>
  <si>
    <t>ربيع احمد نورالدين محمد</t>
  </si>
  <si>
    <t>وفاء ابوالمجد عزام حمدان</t>
  </si>
  <si>
    <t>محمد عبدالصبور شاكر محمد</t>
  </si>
  <si>
    <t>فريجه عبدالمنصف علي عبدالرحيم</t>
  </si>
  <si>
    <t>نصر ابوالمجد مبارك عمران</t>
  </si>
  <si>
    <t>صموئيل راغب ناشد جريس</t>
  </si>
  <si>
    <t>محمد حسن كامل اسماعيل</t>
  </si>
  <si>
    <t>مديحه السيد محمد مروان</t>
  </si>
  <si>
    <t>سحر محمد عكاشه محمد</t>
  </si>
  <si>
    <t>عزت عبد المنصف معوض دياب</t>
  </si>
  <si>
    <t>01098453694</t>
  </si>
  <si>
    <t>01068455622</t>
  </si>
  <si>
    <t>0261</t>
  </si>
  <si>
    <t>0143</t>
  </si>
  <si>
    <t>01092533980</t>
  </si>
  <si>
    <t>01090647993</t>
  </si>
  <si>
    <t>01004451215</t>
  </si>
  <si>
    <t>1551</t>
  </si>
  <si>
    <t>01229316521</t>
  </si>
  <si>
    <t>01010009260</t>
  </si>
  <si>
    <t>01117167643</t>
  </si>
  <si>
    <t>5637</t>
  </si>
  <si>
    <t>1378</t>
  </si>
  <si>
    <t>01021470603</t>
  </si>
  <si>
    <t>4256</t>
  </si>
  <si>
    <t>01044125829</t>
  </si>
  <si>
    <t>5681</t>
  </si>
  <si>
    <t>7628</t>
  </si>
  <si>
    <t>1041</t>
  </si>
  <si>
    <t>8563</t>
  </si>
  <si>
    <t>8865</t>
  </si>
  <si>
    <t>9659</t>
  </si>
  <si>
    <t>0375</t>
  </si>
  <si>
    <t>1979</t>
  </si>
  <si>
    <t>1574</t>
  </si>
  <si>
    <t>4202</t>
  </si>
  <si>
    <t>4179</t>
  </si>
  <si>
    <t>1276</t>
  </si>
  <si>
    <t>9814</t>
  </si>
  <si>
    <t>7356</t>
  </si>
  <si>
    <t>4381</t>
  </si>
  <si>
    <t>7616</t>
  </si>
  <si>
    <t>9098</t>
  </si>
  <si>
    <t>7809</t>
  </si>
  <si>
    <t>9786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</si>
</sst>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0" fontId="0" fillId="0" borderId="0" xfId="0" applyFont="1" applyBorder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1"/>
  <sheetViews>
    <sheetView rightToLeft="1" tabSelected="1" topLeftCell="A37" zoomScaleNormal="100" workbookViewId="0">
      <selection activeCell="B46" sqref="B46:E46 G46:I46"/>
    </sheetView>
  </sheetViews>
  <sheetFormatPr defaultRowHeight="14.4" x14ac:dyDescent="0.3"/>
  <cols>
    <col min="1" max="1" width="4.109375" style="13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hidden="1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25.5546875" customWidth="1"/>
  </cols>
  <sheetData>
    <row r="1" spans="1:14" x14ac:dyDescent="0.3">
      <c r="A1" s="12" t="s">
        <v>6</v>
      </c>
      <c r="B1" s="1" t="s">
        <v>8</v>
      </c>
      <c r="C1" s="1" t="s">
        <v>0</v>
      </c>
      <c r="D1" s="8" t="s">
        <v>2</v>
      </c>
      <c r="E1" s="4" t="s">
        <v>13</v>
      </c>
      <c r="F1" s="4" t="s">
        <v>15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N1" t="s">
        <v>14</v>
      </c>
    </row>
    <row r="2" spans="1:14" x14ac:dyDescent="0.3">
      <c r="B2">
        <v>4407</v>
      </c>
      <c r="C2" t="s">
        <v>170</v>
      </c>
      <c r="D2" s="9">
        <v>29509092704881</v>
      </c>
      <c r="E2" s="5">
        <v>10000</v>
      </c>
      <c r="F2" s="5">
        <v>18</v>
      </c>
      <c r="G2" s="7" t="str">
        <f t="shared" ref="G2:G48" si="0">CONCATENATE(M2,L2,K2,J2)</f>
        <v>5078031301430261</v>
      </c>
      <c r="H2" s="3" t="s">
        <v>180</v>
      </c>
      <c r="I2" t="s">
        <v>110</v>
      </c>
      <c r="J2" s="11" t="s">
        <v>181</v>
      </c>
      <c r="K2" s="11" t="s">
        <v>182</v>
      </c>
      <c r="L2" s="10" t="s">
        <v>4</v>
      </c>
      <c r="M2" s="10" t="s">
        <v>5</v>
      </c>
      <c r="N2" t="s">
        <v>135</v>
      </c>
    </row>
    <row r="3" spans="1:14" x14ac:dyDescent="0.3">
      <c r="B3">
        <v>6206</v>
      </c>
      <c r="C3" t="s">
        <v>177</v>
      </c>
      <c r="D3" s="9">
        <v>28501012707961</v>
      </c>
      <c r="E3" s="5">
        <v>30000</v>
      </c>
      <c r="F3" s="5">
        <v>12</v>
      </c>
      <c r="G3" s="7" t="str">
        <f t="shared" si="0"/>
        <v>5078031342354256</v>
      </c>
      <c r="H3" s="3" t="s">
        <v>192</v>
      </c>
      <c r="I3" t="s">
        <v>110</v>
      </c>
      <c r="J3" s="11" t="s">
        <v>193</v>
      </c>
      <c r="K3" s="11" t="s">
        <v>25</v>
      </c>
      <c r="L3" s="10" t="s">
        <v>4</v>
      </c>
      <c r="M3" s="10" t="s">
        <v>5</v>
      </c>
      <c r="N3" t="s">
        <v>135</v>
      </c>
    </row>
    <row r="4" spans="1:14" x14ac:dyDescent="0.3">
      <c r="B4">
        <v>6207</v>
      </c>
      <c r="C4" t="s">
        <v>178</v>
      </c>
      <c r="D4" s="9">
        <v>28211282701053</v>
      </c>
      <c r="E4" s="5">
        <v>30000</v>
      </c>
      <c r="F4" s="5">
        <v>12</v>
      </c>
      <c r="G4" s="7" t="str">
        <f t="shared" si="0"/>
        <v>5078031376285681</v>
      </c>
      <c r="H4" s="3" t="s">
        <v>194</v>
      </c>
      <c r="I4" t="s">
        <v>110</v>
      </c>
      <c r="J4" s="11" t="s">
        <v>195</v>
      </c>
      <c r="K4" s="11" t="s">
        <v>196</v>
      </c>
      <c r="L4" s="10" t="s">
        <v>4</v>
      </c>
      <c r="M4" s="10" t="s">
        <v>5</v>
      </c>
      <c r="N4" t="s">
        <v>135</v>
      </c>
    </row>
    <row r="5" spans="1:14" x14ac:dyDescent="0.3">
      <c r="B5">
        <v>4340</v>
      </c>
      <c r="C5" t="s">
        <v>61</v>
      </c>
      <c r="D5" s="9">
        <v>27310292701196</v>
      </c>
      <c r="E5" s="5">
        <v>34000</v>
      </c>
      <c r="F5">
        <v>18</v>
      </c>
      <c r="G5" s="7" t="str">
        <f t="shared" si="0"/>
        <v>5078031388659659</v>
      </c>
      <c r="H5" s="3" t="s">
        <v>86</v>
      </c>
      <c r="I5" t="s">
        <v>109</v>
      </c>
      <c r="J5" s="11" t="s">
        <v>200</v>
      </c>
      <c r="K5" s="11" t="s">
        <v>199</v>
      </c>
      <c r="L5" s="10" t="s">
        <v>4</v>
      </c>
      <c r="M5" s="10" t="s">
        <v>5</v>
      </c>
      <c r="N5" t="s">
        <v>112</v>
      </c>
    </row>
    <row r="6" spans="1:14" x14ac:dyDescent="0.3">
      <c r="B6">
        <v>4341</v>
      </c>
      <c r="C6" t="s">
        <v>62</v>
      </c>
      <c r="D6" s="9">
        <v>28001102701421</v>
      </c>
      <c r="E6" s="5">
        <v>34000</v>
      </c>
      <c r="F6">
        <v>18</v>
      </c>
      <c r="G6" s="7" t="str">
        <f t="shared" si="0"/>
        <v>5078031303751979</v>
      </c>
      <c r="H6" s="3" t="s">
        <v>87</v>
      </c>
      <c r="I6" t="s">
        <v>109</v>
      </c>
      <c r="J6" s="11" t="s">
        <v>202</v>
      </c>
      <c r="K6" s="11" t="s">
        <v>201</v>
      </c>
      <c r="L6" s="10" t="s">
        <v>4</v>
      </c>
      <c r="M6" s="10" t="s">
        <v>5</v>
      </c>
      <c r="N6" t="s">
        <v>112</v>
      </c>
    </row>
    <row r="7" spans="1:14" x14ac:dyDescent="0.3">
      <c r="B7">
        <v>4853</v>
      </c>
      <c r="C7" t="s">
        <v>171</v>
      </c>
      <c r="D7" s="9">
        <v>28801012707574</v>
      </c>
      <c r="E7" s="5">
        <v>100000</v>
      </c>
      <c r="F7" s="5">
        <v>18</v>
      </c>
      <c r="G7" s="7" t="str">
        <f t="shared" si="0"/>
        <v>5078031315744202</v>
      </c>
      <c r="H7" s="3" t="s">
        <v>183</v>
      </c>
      <c r="I7" t="s">
        <v>108</v>
      </c>
      <c r="J7" s="11" t="s">
        <v>204</v>
      </c>
      <c r="K7" s="11" t="s">
        <v>203</v>
      </c>
      <c r="L7" s="10" t="s">
        <v>4</v>
      </c>
      <c r="M7" s="10" t="s">
        <v>5</v>
      </c>
      <c r="N7" t="s">
        <v>135</v>
      </c>
    </row>
    <row r="8" spans="1:14" x14ac:dyDescent="0.3">
      <c r="B8">
        <v>5558</v>
      </c>
      <c r="C8" t="s">
        <v>174</v>
      </c>
      <c r="D8" s="9">
        <v>27011192700691</v>
      </c>
      <c r="E8" s="5">
        <v>60000</v>
      </c>
      <c r="F8" s="5">
        <v>12</v>
      </c>
      <c r="G8" s="7" t="str">
        <f t="shared" si="0"/>
        <v>5078031341791276</v>
      </c>
      <c r="H8" s="3" t="s">
        <v>187</v>
      </c>
      <c r="I8" t="s">
        <v>109</v>
      </c>
      <c r="J8" s="11" t="s">
        <v>206</v>
      </c>
      <c r="K8" s="11" t="s">
        <v>205</v>
      </c>
      <c r="L8" s="10" t="s">
        <v>4</v>
      </c>
      <c r="M8" s="10" t="s">
        <v>5</v>
      </c>
      <c r="N8" t="s">
        <v>135</v>
      </c>
    </row>
    <row r="9" spans="1:14" x14ac:dyDescent="0.3">
      <c r="B9">
        <v>2915</v>
      </c>
      <c r="C9" s="14" t="s">
        <v>121</v>
      </c>
      <c r="D9" s="9">
        <v>28409152702478</v>
      </c>
      <c r="E9" s="5">
        <v>40000</v>
      </c>
      <c r="F9" s="5">
        <v>18</v>
      </c>
      <c r="G9" s="7" t="str">
        <f t="shared" si="0"/>
        <v>5078031368616505</v>
      </c>
      <c r="H9" s="3" t="s">
        <v>134</v>
      </c>
      <c r="I9" t="s">
        <v>107</v>
      </c>
      <c r="J9" s="11" t="s">
        <v>158</v>
      </c>
      <c r="K9" s="11" t="s">
        <v>157</v>
      </c>
      <c r="L9" s="10" t="s">
        <v>4</v>
      </c>
      <c r="M9" s="10" t="s">
        <v>5</v>
      </c>
      <c r="N9" t="s">
        <v>135</v>
      </c>
    </row>
    <row r="10" spans="1:14" x14ac:dyDescent="0.3">
      <c r="B10">
        <v>4682</v>
      </c>
      <c r="C10" s="14" t="s">
        <v>125</v>
      </c>
      <c r="D10" s="9">
        <v>28208062700241</v>
      </c>
      <c r="E10" s="5">
        <v>34000</v>
      </c>
      <c r="F10" s="5">
        <v>18</v>
      </c>
      <c r="G10" s="7" t="str">
        <f t="shared" si="0"/>
        <v>5078031338328694</v>
      </c>
      <c r="H10" s="3" t="s">
        <v>141</v>
      </c>
      <c r="I10" t="s">
        <v>110</v>
      </c>
      <c r="J10" s="11" t="s">
        <v>160</v>
      </c>
      <c r="K10" s="11" t="s">
        <v>159</v>
      </c>
      <c r="L10" s="10" t="s">
        <v>4</v>
      </c>
      <c r="M10" s="10" t="s">
        <v>5</v>
      </c>
      <c r="N10" t="s">
        <v>135</v>
      </c>
    </row>
    <row r="11" spans="1:14" x14ac:dyDescent="0.3">
      <c r="B11">
        <v>6203</v>
      </c>
      <c r="C11" s="14" t="s">
        <v>129</v>
      </c>
      <c r="D11" s="9">
        <v>30112252701599</v>
      </c>
      <c r="E11" s="5">
        <v>30000</v>
      </c>
      <c r="F11" s="5">
        <v>18</v>
      </c>
      <c r="G11" s="7" t="str">
        <f t="shared" si="0"/>
        <v>5078031361643712</v>
      </c>
      <c r="H11" s="3" t="s">
        <v>148</v>
      </c>
      <c r="I11" t="s">
        <v>110</v>
      </c>
      <c r="J11" s="11" t="s">
        <v>149</v>
      </c>
      <c r="K11" s="11" t="s">
        <v>150</v>
      </c>
      <c r="L11" s="10" t="s">
        <v>4</v>
      </c>
      <c r="M11" s="10" t="s">
        <v>5</v>
      </c>
      <c r="N11" t="s">
        <v>135</v>
      </c>
    </row>
    <row r="12" spans="1:14" x14ac:dyDescent="0.3">
      <c r="B12">
        <v>3576</v>
      </c>
      <c r="C12" s="14" t="s">
        <v>123</v>
      </c>
      <c r="D12" s="9">
        <v>27110012702266</v>
      </c>
      <c r="E12" s="5">
        <v>30000</v>
      </c>
      <c r="F12" s="5">
        <v>18</v>
      </c>
      <c r="G12" s="7" t="str">
        <f t="shared" si="0"/>
        <v>5078031356419888</v>
      </c>
      <c r="H12" s="3" t="s">
        <v>137</v>
      </c>
      <c r="I12" t="s">
        <v>108</v>
      </c>
      <c r="J12" s="11" t="s">
        <v>162</v>
      </c>
      <c r="K12" s="11" t="s">
        <v>161</v>
      </c>
      <c r="L12" s="10" t="s">
        <v>4</v>
      </c>
      <c r="M12" s="10" t="s">
        <v>5</v>
      </c>
      <c r="N12" t="s">
        <v>133</v>
      </c>
    </row>
    <row r="13" spans="1:14" x14ac:dyDescent="0.3">
      <c r="B13">
        <v>2861</v>
      </c>
      <c r="C13" t="s">
        <v>58</v>
      </c>
      <c r="D13" s="9">
        <v>27612062700979</v>
      </c>
      <c r="E13" s="5">
        <v>30000</v>
      </c>
      <c r="F13">
        <v>18</v>
      </c>
      <c r="G13" s="7" t="str">
        <f t="shared" si="0"/>
        <v>5078031323526344</v>
      </c>
      <c r="H13" s="3" t="s">
        <v>83</v>
      </c>
      <c r="I13" t="s">
        <v>107</v>
      </c>
      <c r="J13" s="11" t="s">
        <v>17</v>
      </c>
      <c r="K13" s="11" t="s">
        <v>16</v>
      </c>
      <c r="L13" s="10" t="s">
        <v>4</v>
      </c>
      <c r="M13" s="10" t="s">
        <v>5</v>
      </c>
      <c r="N13" t="s">
        <v>112</v>
      </c>
    </row>
    <row r="14" spans="1:14" x14ac:dyDescent="0.3">
      <c r="B14">
        <v>4155</v>
      </c>
      <c r="C14" t="s">
        <v>59</v>
      </c>
      <c r="D14" s="9">
        <v>26802092701155</v>
      </c>
      <c r="E14" s="5">
        <v>35000</v>
      </c>
      <c r="F14">
        <v>18</v>
      </c>
      <c r="G14" s="7" t="str">
        <f t="shared" si="0"/>
        <v>5078031392662541</v>
      </c>
      <c r="H14" s="3" t="s">
        <v>84</v>
      </c>
      <c r="I14" t="s">
        <v>108</v>
      </c>
      <c r="J14" s="11" t="s">
        <v>19</v>
      </c>
      <c r="K14" s="11" t="s">
        <v>18</v>
      </c>
      <c r="L14" s="10" t="s">
        <v>4</v>
      </c>
      <c r="M14" s="10" t="s">
        <v>5</v>
      </c>
      <c r="N14" t="s">
        <v>112</v>
      </c>
    </row>
    <row r="15" spans="1:14" x14ac:dyDescent="0.3">
      <c r="B15">
        <v>4330</v>
      </c>
      <c r="C15" t="s">
        <v>60</v>
      </c>
      <c r="D15" s="9">
        <v>28401172701469</v>
      </c>
      <c r="E15" s="5">
        <v>49000</v>
      </c>
      <c r="F15">
        <v>18</v>
      </c>
      <c r="G15" s="7" t="str">
        <f t="shared" si="0"/>
        <v>5078031340528356</v>
      </c>
      <c r="H15" s="3" t="s">
        <v>85</v>
      </c>
      <c r="I15" t="s">
        <v>108</v>
      </c>
      <c r="J15" s="11" t="s">
        <v>21</v>
      </c>
      <c r="K15" s="11" t="s">
        <v>20</v>
      </c>
      <c r="L15" s="10" t="s">
        <v>4</v>
      </c>
      <c r="M15" s="10" t="s">
        <v>5</v>
      </c>
      <c r="N15" t="s">
        <v>112</v>
      </c>
    </row>
    <row r="16" spans="1:14" x14ac:dyDescent="0.3">
      <c r="B16">
        <v>5325</v>
      </c>
      <c r="C16" t="s">
        <v>63</v>
      </c>
      <c r="D16" s="9">
        <v>28801032702668</v>
      </c>
      <c r="E16" s="5">
        <v>30000</v>
      </c>
      <c r="F16">
        <v>18</v>
      </c>
      <c r="G16" s="7" t="str">
        <f t="shared" si="0"/>
        <v>5078031368920089</v>
      </c>
      <c r="H16" s="3" t="s">
        <v>88</v>
      </c>
      <c r="I16" t="s">
        <v>109</v>
      </c>
      <c r="J16" s="11" t="s">
        <v>23</v>
      </c>
      <c r="K16" s="11" t="s">
        <v>22</v>
      </c>
      <c r="L16" s="10" t="s">
        <v>4</v>
      </c>
      <c r="M16" s="10" t="s">
        <v>5</v>
      </c>
      <c r="N16" t="s">
        <v>112</v>
      </c>
    </row>
    <row r="17" spans="2:14" x14ac:dyDescent="0.3">
      <c r="B17">
        <v>6187</v>
      </c>
      <c r="C17" t="s">
        <v>64</v>
      </c>
      <c r="D17" s="9">
        <v>29206032700892</v>
      </c>
      <c r="E17" s="5">
        <v>30000</v>
      </c>
      <c r="F17">
        <v>18</v>
      </c>
      <c r="G17" s="7" t="str">
        <f t="shared" si="0"/>
        <v>5078031350224235</v>
      </c>
      <c r="H17" s="3" t="s">
        <v>89</v>
      </c>
      <c r="I17" t="s">
        <v>109</v>
      </c>
      <c r="J17" s="11" t="s">
        <v>25</v>
      </c>
      <c r="K17" s="11" t="s">
        <v>24</v>
      </c>
      <c r="L17" s="10" t="s">
        <v>4</v>
      </c>
      <c r="M17" s="10" t="s">
        <v>5</v>
      </c>
      <c r="N17" t="s">
        <v>112</v>
      </c>
    </row>
    <row r="18" spans="2:14" x14ac:dyDescent="0.3">
      <c r="B18">
        <v>6188</v>
      </c>
      <c r="C18" t="s">
        <v>65</v>
      </c>
      <c r="D18" s="9">
        <v>30101132701259</v>
      </c>
      <c r="E18" s="5">
        <v>30000</v>
      </c>
      <c r="F18">
        <v>18</v>
      </c>
      <c r="G18" s="7" t="str">
        <f t="shared" si="0"/>
        <v>5078031313362064</v>
      </c>
      <c r="H18" s="3" t="s">
        <v>90</v>
      </c>
      <c r="I18" t="s">
        <v>109</v>
      </c>
      <c r="J18" s="11" t="s">
        <v>27</v>
      </c>
      <c r="K18" s="11" t="s">
        <v>26</v>
      </c>
      <c r="L18" s="10" t="s">
        <v>4</v>
      </c>
      <c r="M18" s="10" t="s">
        <v>5</v>
      </c>
      <c r="N18" t="s">
        <v>112</v>
      </c>
    </row>
    <row r="19" spans="2:14" x14ac:dyDescent="0.3">
      <c r="B19">
        <v>6194</v>
      </c>
      <c r="C19" t="s">
        <v>66</v>
      </c>
      <c r="D19" s="9">
        <v>28112032700941</v>
      </c>
      <c r="E19" s="5">
        <v>30000</v>
      </c>
      <c r="F19">
        <v>18</v>
      </c>
      <c r="G19" s="7" t="str">
        <f t="shared" si="0"/>
        <v>5078031351819801</v>
      </c>
      <c r="H19" s="3" t="s">
        <v>91</v>
      </c>
      <c r="I19" t="s">
        <v>110</v>
      </c>
      <c r="J19" s="11" t="s">
        <v>29</v>
      </c>
      <c r="K19" s="11" t="s">
        <v>28</v>
      </c>
      <c r="L19" s="10" t="s">
        <v>4</v>
      </c>
      <c r="M19" s="10" t="s">
        <v>5</v>
      </c>
      <c r="N19" t="s">
        <v>112</v>
      </c>
    </row>
    <row r="20" spans="2:14" x14ac:dyDescent="0.3">
      <c r="B20">
        <v>6202</v>
      </c>
      <c r="C20" t="s">
        <v>67</v>
      </c>
      <c r="D20" s="9">
        <v>29707132702166</v>
      </c>
      <c r="E20" s="5">
        <v>34000</v>
      </c>
      <c r="F20">
        <v>18</v>
      </c>
      <c r="G20" s="7" t="str">
        <f t="shared" si="0"/>
        <v>5078031322718538</v>
      </c>
      <c r="H20" s="3" t="s">
        <v>92</v>
      </c>
      <c r="I20" t="s">
        <v>106</v>
      </c>
      <c r="J20" s="11" t="s">
        <v>31</v>
      </c>
      <c r="K20" s="11" t="s">
        <v>30</v>
      </c>
      <c r="L20" s="10" t="s">
        <v>4</v>
      </c>
      <c r="M20" s="10" t="s">
        <v>5</v>
      </c>
      <c r="N20" t="s">
        <v>112</v>
      </c>
    </row>
    <row r="21" spans="2:14" x14ac:dyDescent="0.3">
      <c r="B21">
        <v>5312</v>
      </c>
      <c r="C21" s="14" t="s">
        <v>127</v>
      </c>
      <c r="D21" s="9">
        <v>27605032701044</v>
      </c>
      <c r="E21" s="5">
        <v>34000</v>
      </c>
      <c r="F21" s="5">
        <v>12</v>
      </c>
      <c r="G21" s="7" t="str">
        <f t="shared" si="0"/>
        <v>5078032010418563</v>
      </c>
      <c r="H21" s="3" t="s">
        <v>145</v>
      </c>
      <c r="I21" t="s">
        <v>109</v>
      </c>
      <c r="J21" s="11" t="s">
        <v>198</v>
      </c>
      <c r="K21" s="11" t="s">
        <v>197</v>
      </c>
      <c r="L21" s="10" t="s">
        <v>114</v>
      </c>
      <c r="M21" s="10" t="s">
        <v>5</v>
      </c>
      <c r="N21" t="s">
        <v>146</v>
      </c>
    </row>
    <row r="22" spans="2:14" x14ac:dyDescent="0.3">
      <c r="B22">
        <v>3720</v>
      </c>
      <c r="C22" t="s">
        <v>68</v>
      </c>
      <c r="D22" s="9">
        <v>28104212800665</v>
      </c>
      <c r="E22" s="5">
        <v>20000</v>
      </c>
      <c r="F22">
        <v>18</v>
      </c>
      <c r="G22" s="7" t="str">
        <f t="shared" si="0"/>
        <v>5078031331441379</v>
      </c>
      <c r="H22" s="3" t="s">
        <v>93</v>
      </c>
      <c r="I22" t="s">
        <v>110</v>
      </c>
      <c r="J22" s="11" t="s">
        <v>33</v>
      </c>
      <c r="K22" s="11" t="s">
        <v>32</v>
      </c>
      <c r="L22" s="10" t="s">
        <v>4</v>
      </c>
      <c r="M22" s="10" t="s">
        <v>5</v>
      </c>
      <c r="N22" t="s">
        <v>113</v>
      </c>
    </row>
    <row r="23" spans="2:14" x14ac:dyDescent="0.3">
      <c r="B23">
        <v>6185</v>
      </c>
      <c r="C23" t="s">
        <v>70</v>
      </c>
      <c r="D23" s="9">
        <v>29009292703941</v>
      </c>
      <c r="E23" s="5">
        <v>20000</v>
      </c>
      <c r="F23">
        <v>18</v>
      </c>
      <c r="G23" s="7" t="str">
        <f t="shared" si="0"/>
        <v>5078031348416661</v>
      </c>
      <c r="H23" s="3" t="s">
        <v>95</v>
      </c>
      <c r="I23" t="s">
        <v>107</v>
      </c>
      <c r="J23" s="11" t="s">
        <v>37</v>
      </c>
      <c r="K23" s="11" t="s">
        <v>36</v>
      </c>
      <c r="L23" s="10" t="s">
        <v>4</v>
      </c>
      <c r="M23" s="10" t="s">
        <v>5</v>
      </c>
      <c r="N23" t="s">
        <v>113</v>
      </c>
    </row>
    <row r="24" spans="2:14" x14ac:dyDescent="0.3">
      <c r="B24">
        <v>6189</v>
      </c>
      <c r="C24" t="s">
        <v>72</v>
      </c>
      <c r="D24" s="9">
        <v>29605202702781</v>
      </c>
      <c r="E24" s="5">
        <v>20000</v>
      </c>
      <c r="F24">
        <v>18</v>
      </c>
      <c r="G24" s="7" t="str">
        <f t="shared" si="0"/>
        <v>5078031337737630</v>
      </c>
      <c r="H24" s="3" t="s">
        <v>97</v>
      </c>
      <c r="I24" t="s">
        <v>109</v>
      </c>
      <c r="J24" s="11" t="s">
        <v>39</v>
      </c>
      <c r="K24" s="11" t="s">
        <v>38</v>
      </c>
      <c r="L24" s="10" t="s">
        <v>4</v>
      </c>
      <c r="M24" s="10" t="s">
        <v>5</v>
      </c>
      <c r="N24" t="s">
        <v>113</v>
      </c>
    </row>
    <row r="25" spans="2:14" x14ac:dyDescent="0.3">
      <c r="B25">
        <v>6197</v>
      </c>
      <c r="C25" t="s">
        <v>76</v>
      </c>
      <c r="D25" s="9">
        <v>30008062702473</v>
      </c>
      <c r="E25" s="5">
        <v>25000</v>
      </c>
      <c r="F25">
        <v>18</v>
      </c>
      <c r="G25" s="7" t="str">
        <f t="shared" si="0"/>
        <v>5078031340103929</v>
      </c>
      <c r="H25" s="3" t="s">
        <v>101</v>
      </c>
      <c r="I25" t="s">
        <v>107</v>
      </c>
      <c r="J25" s="11" t="s">
        <v>47</v>
      </c>
      <c r="K25" s="11" t="s">
        <v>46</v>
      </c>
      <c r="L25" s="10" t="s">
        <v>4</v>
      </c>
      <c r="M25" s="10" t="s">
        <v>5</v>
      </c>
      <c r="N25" t="s">
        <v>113</v>
      </c>
    </row>
    <row r="26" spans="2:14" x14ac:dyDescent="0.3">
      <c r="B26">
        <v>6198</v>
      </c>
      <c r="C26" t="s">
        <v>77</v>
      </c>
      <c r="D26" s="9">
        <v>28402052700805</v>
      </c>
      <c r="E26" s="5">
        <v>25000</v>
      </c>
      <c r="F26">
        <v>18</v>
      </c>
      <c r="G26" s="7" t="str">
        <f t="shared" si="0"/>
        <v>5078031384058450</v>
      </c>
      <c r="H26" s="3" t="s">
        <v>102</v>
      </c>
      <c r="I26" t="s">
        <v>107</v>
      </c>
      <c r="J26" s="11" t="s">
        <v>49</v>
      </c>
      <c r="K26" s="11" t="s">
        <v>48</v>
      </c>
      <c r="L26" s="10" t="s">
        <v>4</v>
      </c>
      <c r="M26" s="10" t="s">
        <v>5</v>
      </c>
      <c r="N26" t="s">
        <v>113</v>
      </c>
    </row>
    <row r="27" spans="2:14" x14ac:dyDescent="0.3">
      <c r="B27">
        <v>6179</v>
      </c>
      <c r="C27" t="s">
        <v>69</v>
      </c>
      <c r="D27" s="9">
        <v>29707212700181</v>
      </c>
      <c r="E27" s="5">
        <v>13000</v>
      </c>
      <c r="F27">
        <v>18</v>
      </c>
      <c r="G27" s="7" t="str">
        <f t="shared" si="0"/>
        <v>5078031397530115</v>
      </c>
      <c r="H27" s="3" t="s">
        <v>94</v>
      </c>
      <c r="I27" t="s">
        <v>110</v>
      </c>
      <c r="J27" s="11" t="s">
        <v>35</v>
      </c>
      <c r="K27" s="11" t="s">
        <v>34</v>
      </c>
      <c r="L27" s="10" t="s">
        <v>4</v>
      </c>
      <c r="M27" s="10" t="s">
        <v>5</v>
      </c>
      <c r="N27" t="s">
        <v>113</v>
      </c>
    </row>
    <row r="28" spans="2:14" x14ac:dyDescent="0.3">
      <c r="B28">
        <v>6186</v>
      </c>
      <c r="C28" t="s">
        <v>71</v>
      </c>
      <c r="D28" s="9">
        <v>28912122700903</v>
      </c>
      <c r="E28" s="5">
        <v>5000</v>
      </c>
      <c r="F28">
        <v>18</v>
      </c>
      <c r="G28" s="7" t="str">
        <f t="shared" si="0"/>
        <v>5078031392363736</v>
      </c>
      <c r="H28" s="3" t="s">
        <v>96</v>
      </c>
      <c r="I28" t="s">
        <v>109</v>
      </c>
      <c r="J28" s="11" t="s">
        <v>119</v>
      </c>
      <c r="K28" s="11" t="s">
        <v>118</v>
      </c>
      <c r="L28" s="10" t="s">
        <v>4</v>
      </c>
      <c r="M28" s="10" t="s">
        <v>5</v>
      </c>
      <c r="N28" t="s">
        <v>113</v>
      </c>
    </row>
    <row r="29" spans="2:14" x14ac:dyDescent="0.3">
      <c r="B29">
        <v>6192</v>
      </c>
      <c r="C29" t="s">
        <v>73</v>
      </c>
      <c r="D29" s="9">
        <v>26512252701175</v>
      </c>
      <c r="E29" s="5">
        <v>10000</v>
      </c>
      <c r="F29">
        <v>18</v>
      </c>
      <c r="G29" s="7" t="str">
        <f t="shared" si="0"/>
        <v>5078031339537335</v>
      </c>
      <c r="H29" s="3" t="s">
        <v>98</v>
      </c>
      <c r="I29" t="s">
        <v>110</v>
      </c>
      <c r="J29" s="11" t="s">
        <v>41</v>
      </c>
      <c r="K29" s="11" t="s">
        <v>40</v>
      </c>
      <c r="L29" s="10" t="s">
        <v>4</v>
      </c>
      <c r="M29" s="10" t="s">
        <v>5</v>
      </c>
      <c r="N29" t="s">
        <v>113</v>
      </c>
    </row>
    <row r="30" spans="2:14" x14ac:dyDescent="0.3">
      <c r="B30">
        <v>6193</v>
      </c>
      <c r="C30" t="s">
        <v>74</v>
      </c>
      <c r="D30" s="9">
        <v>27105122701695</v>
      </c>
      <c r="E30" s="5">
        <v>20000</v>
      </c>
      <c r="F30">
        <v>18</v>
      </c>
      <c r="G30" s="7" t="str">
        <f t="shared" si="0"/>
        <v>5078031379907570</v>
      </c>
      <c r="H30" s="3" t="s">
        <v>99</v>
      </c>
      <c r="I30" t="s">
        <v>110</v>
      </c>
      <c r="J30" s="11" t="s">
        <v>43</v>
      </c>
      <c r="K30" s="11" t="s">
        <v>42</v>
      </c>
      <c r="L30" s="10" t="s">
        <v>4</v>
      </c>
      <c r="M30" s="10" t="s">
        <v>5</v>
      </c>
      <c r="N30" t="s">
        <v>113</v>
      </c>
    </row>
    <row r="31" spans="2:14" x14ac:dyDescent="0.3">
      <c r="B31">
        <v>6196</v>
      </c>
      <c r="C31" t="s">
        <v>75</v>
      </c>
      <c r="D31" s="9">
        <v>30004182700045</v>
      </c>
      <c r="E31" s="5">
        <v>10000</v>
      </c>
      <c r="F31">
        <v>18</v>
      </c>
      <c r="G31" s="7" t="str">
        <f t="shared" si="0"/>
        <v>5078031341477710</v>
      </c>
      <c r="H31" s="3" t="s">
        <v>100</v>
      </c>
      <c r="I31" t="s">
        <v>107</v>
      </c>
      <c r="J31" s="11" t="s">
        <v>45</v>
      </c>
      <c r="K31" s="11" t="s">
        <v>44</v>
      </c>
      <c r="L31" s="10" t="s">
        <v>4</v>
      </c>
      <c r="M31" s="10" t="s">
        <v>5</v>
      </c>
      <c r="N31" t="s">
        <v>113</v>
      </c>
    </row>
    <row r="32" spans="2:14" x14ac:dyDescent="0.3">
      <c r="B32">
        <v>6199</v>
      </c>
      <c r="C32" t="s">
        <v>78</v>
      </c>
      <c r="D32" s="9">
        <v>30001312700132</v>
      </c>
      <c r="E32" s="5">
        <v>25000</v>
      </c>
      <c r="F32">
        <v>18</v>
      </c>
      <c r="G32" s="7" t="str">
        <f t="shared" si="0"/>
        <v>5078031307473794</v>
      </c>
      <c r="H32" s="3" t="s">
        <v>103</v>
      </c>
      <c r="I32" t="s">
        <v>107</v>
      </c>
      <c r="J32" s="11" t="s">
        <v>51</v>
      </c>
      <c r="K32" s="11" t="s">
        <v>50</v>
      </c>
      <c r="L32" s="10" t="s">
        <v>4</v>
      </c>
      <c r="M32" s="10" t="s">
        <v>5</v>
      </c>
      <c r="N32" t="s">
        <v>113</v>
      </c>
    </row>
    <row r="33" spans="2:15" x14ac:dyDescent="0.3">
      <c r="B33">
        <v>6200</v>
      </c>
      <c r="C33" t="s">
        <v>79</v>
      </c>
      <c r="D33" s="9">
        <v>27603302700514</v>
      </c>
      <c r="E33" s="5">
        <v>25000</v>
      </c>
      <c r="F33">
        <v>18</v>
      </c>
      <c r="G33" s="7" t="str">
        <f t="shared" si="0"/>
        <v>5078031330442220</v>
      </c>
      <c r="H33" s="3" t="s">
        <v>104</v>
      </c>
      <c r="I33" t="s">
        <v>107</v>
      </c>
      <c r="J33" s="11" t="s">
        <v>53</v>
      </c>
      <c r="K33" s="11" t="s">
        <v>52</v>
      </c>
      <c r="L33" s="10" t="s">
        <v>4</v>
      </c>
      <c r="M33" s="10" t="s">
        <v>5</v>
      </c>
      <c r="N33" t="s">
        <v>113</v>
      </c>
    </row>
    <row r="34" spans="2:15" x14ac:dyDescent="0.3">
      <c r="B34">
        <v>6201</v>
      </c>
      <c r="C34" t="s">
        <v>80</v>
      </c>
      <c r="D34" s="9">
        <v>30003292700559</v>
      </c>
      <c r="E34" s="5">
        <v>20000</v>
      </c>
      <c r="F34">
        <v>18</v>
      </c>
      <c r="G34" s="7" t="str">
        <f t="shared" si="0"/>
        <v>5078031322449548</v>
      </c>
      <c r="H34" s="3" t="s">
        <v>105</v>
      </c>
      <c r="I34" t="s">
        <v>108</v>
      </c>
      <c r="J34" s="11" t="s">
        <v>55</v>
      </c>
      <c r="K34" s="11" t="s">
        <v>54</v>
      </c>
      <c r="L34" s="10" t="s">
        <v>4</v>
      </c>
      <c r="M34" s="10" t="s">
        <v>5</v>
      </c>
      <c r="N34" t="s">
        <v>113</v>
      </c>
    </row>
    <row r="35" spans="2:15" x14ac:dyDescent="0.3">
      <c r="B35">
        <v>5539</v>
      </c>
      <c r="C35" t="s">
        <v>56</v>
      </c>
      <c r="D35" s="9">
        <v>28105292700123</v>
      </c>
      <c r="E35" s="5">
        <v>34000</v>
      </c>
      <c r="F35">
        <v>18</v>
      </c>
      <c r="G35" s="7" t="str">
        <f t="shared" si="0"/>
        <v>5078032010989472</v>
      </c>
      <c r="H35" s="3" t="s">
        <v>81</v>
      </c>
      <c r="I35" t="s">
        <v>106</v>
      </c>
      <c r="J35" s="11" t="s">
        <v>116</v>
      </c>
      <c r="K35" s="11" t="s">
        <v>115</v>
      </c>
      <c r="L35" s="10" t="s">
        <v>114</v>
      </c>
      <c r="M35" s="10" t="s">
        <v>5</v>
      </c>
      <c r="N35" t="s">
        <v>111</v>
      </c>
    </row>
    <row r="36" spans="2:15" x14ac:dyDescent="0.3">
      <c r="B36">
        <v>5541</v>
      </c>
      <c r="C36" t="s">
        <v>57</v>
      </c>
      <c r="D36" s="9">
        <v>29201122702426</v>
      </c>
      <c r="E36" s="5">
        <v>34000</v>
      </c>
      <c r="F36">
        <v>18</v>
      </c>
      <c r="G36" s="7" t="str">
        <f t="shared" si="0"/>
        <v>5078032010989464</v>
      </c>
      <c r="H36" s="3" t="s">
        <v>82</v>
      </c>
      <c r="I36" t="s">
        <v>106</v>
      </c>
      <c r="J36" s="11" t="s">
        <v>117</v>
      </c>
      <c r="K36" s="11" t="s">
        <v>115</v>
      </c>
      <c r="L36" s="10" t="s">
        <v>114</v>
      </c>
      <c r="M36" s="10" t="s">
        <v>5</v>
      </c>
      <c r="N36" t="s">
        <v>111</v>
      </c>
    </row>
    <row r="37" spans="2:15" x14ac:dyDescent="0.3">
      <c r="B37">
        <v>3472</v>
      </c>
      <c r="C37" s="14" t="s">
        <v>122</v>
      </c>
      <c r="D37" s="9">
        <v>26707272701843</v>
      </c>
      <c r="E37" s="5">
        <v>34000</v>
      </c>
      <c r="F37" s="5">
        <v>18</v>
      </c>
      <c r="G37" s="7" t="str">
        <f t="shared" si="0"/>
        <v>5078031341648880</v>
      </c>
      <c r="H37" s="3" t="s">
        <v>136</v>
      </c>
      <c r="I37" t="s">
        <v>110</v>
      </c>
      <c r="J37" s="11" t="s">
        <v>168</v>
      </c>
      <c r="K37" s="11" t="s">
        <v>167</v>
      </c>
      <c r="L37" s="10" t="s">
        <v>4</v>
      </c>
      <c r="M37" s="10" t="s">
        <v>5</v>
      </c>
      <c r="N37" t="s">
        <v>135</v>
      </c>
    </row>
    <row r="38" spans="2:15" x14ac:dyDescent="0.3">
      <c r="B38">
        <v>4605</v>
      </c>
      <c r="C38" s="14" t="s">
        <v>124</v>
      </c>
      <c r="D38" s="9">
        <v>27810032701373</v>
      </c>
      <c r="E38" s="5">
        <v>30000</v>
      </c>
      <c r="F38" s="5">
        <v>18</v>
      </c>
      <c r="G38" s="7" t="str">
        <f t="shared" si="0"/>
        <v>5078031307609629</v>
      </c>
      <c r="H38" s="3" t="s">
        <v>138</v>
      </c>
      <c r="I38" t="s">
        <v>110</v>
      </c>
      <c r="J38" s="11" t="s">
        <v>139</v>
      </c>
      <c r="K38" s="11" t="s">
        <v>140</v>
      </c>
      <c r="L38" s="10" t="s">
        <v>4</v>
      </c>
      <c r="M38" s="10" t="s">
        <v>5</v>
      </c>
      <c r="N38" t="s">
        <v>135</v>
      </c>
    </row>
    <row r="39" spans="2:15" x14ac:dyDescent="0.3">
      <c r="B39">
        <v>5603</v>
      </c>
      <c r="C39" s="14" t="s">
        <v>128</v>
      </c>
      <c r="D39" s="9">
        <v>28404012702344</v>
      </c>
      <c r="E39" s="5">
        <v>34000</v>
      </c>
      <c r="F39" s="5">
        <v>18</v>
      </c>
      <c r="G39" s="7" t="str">
        <f t="shared" si="0"/>
        <v>5078031359211704</v>
      </c>
      <c r="H39" s="3" t="s">
        <v>147</v>
      </c>
      <c r="I39" t="s">
        <v>106</v>
      </c>
      <c r="J39" s="11" t="s">
        <v>164</v>
      </c>
      <c r="K39" s="11" t="s">
        <v>163</v>
      </c>
      <c r="L39" s="10" t="s">
        <v>4</v>
      </c>
      <c r="M39" s="10" t="s">
        <v>5</v>
      </c>
      <c r="N39" t="s">
        <v>135</v>
      </c>
      <c r="O39">
        <v>2</v>
      </c>
    </row>
    <row r="40" spans="2:15" x14ac:dyDescent="0.3">
      <c r="B40">
        <v>2846</v>
      </c>
      <c r="C40" s="14" t="s">
        <v>120</v>
      </c>
      <c r="D40" s="9">
        <v>26209272701142</v>
      </c>
      <c r="E40" s="5">
        <v>10000</v>
      </c>
      <c r="F40" s="5">
        <v>18</v>
      </c>
      <c r="G40" s="7" t="str">
        <f t="shared" si="0"/>
        <v>5078031354716533</v>
      </c>
      <c r="H40" s="3" t="s">
        <v>132</v>
      </c>
      <c r="I40" t="s">
        <v>109</v>
      </c>
      <c r="J40" s="11" t="s">
        <v>166</v>
      </c>
      <c r="K40" s="11" t="s">
        <v>165</v>
      </c>
      <c r="L40" s="10" t="s">
        <v>4</v>
      </c>
      <c r="M40" s="10" t="s">
        <v>5</v>
      </c>
      <c r="N40" t="s">
        <v>133</v>
      </c>
      <c r="O40">
        <v>2</v>
      </c>
    </row>
    <row r="41" spans="2:15" x14ac:dyDescent="0.3">
      <c r="B41">
        <v>5236</v>
      </c>
      <c r="C41" s="14" t="s">
        <v>126</v>
      </c>
      <c r="D41" s="9">
        <v>30107072701864</v>
      </c>
      <c r="E41" s="5">
        <v>25000</v>
      </c>
      <c r="F41" s="5">
        <v>18</v>
      </c>
      <c r="G41" s="7" t="str">
        <f t="shared" si="0"/>
        <v>5078031360372487</v>
      </c>
      <c r="H41" s="3" t="s">
        <v>142</v>
      </c>
      <c r="I41" t="s">
        <v>109</v>
      </c>
      <c r="J41" s="11" t="s">
        <v>143</v>
      </c>
      <c r="K41" s="11" t="s">
        <v>144</v>
      </c>
      <c r="L41" s="10" t="s">
        <v>4</v>
      </c>
      <c r="M41" s="10" t="s">
        <v>5</v>
      </c>
      <c r="N41" t="s">
        <v>133</v>
      </c>
      <c r="O41">
        <v>2</v>
      </c>
    </row>
    <row r="42" spans="2:15" x14ac:dyDescent="0.3">
      <c r="B42">
        <v>6204</v>
      </c>
      <c r="C42" s="14" t="s">
        <v>130</v>
      </c>
      <c r="D42" s="9">
        <v>28708152701851</v>
      </c>
      <c r="E42" s="5">
        <v>20000</v>
      </c>
      <c r="F42" s="5">
        <v>18</v>
      </c>
      <c r="G42" s="7" t="str">
        <f t="shared" si="0"/>
        <v>5078031329456868</v>
      </c>
      <c r="H42" s="3" t="s">
        <v>151</v>
      </c>
      <c r="I42" t="s">
        <v>110</v>
      </c>
      <c r="J42" s="11" t="s">
        <v>152</v>
      </c>
      <c r="K42" s="11" t="s">
        <v>153</v>
      </c>
      <c r="L42" s="10" t="s">
        <v>4</v>
      </c>
      <c r="M42" s="10" t="s">
        <v>5</v>
      </c>
      <c r="N42" t="s">
        <v>133</v>
      </c>
      <c r="O42">
        <v>2</v>
      </c>
    </row>
    <row r="43" spans="2:15" x14ac:dyDescent="0.3">
      <c r="B43">
        <v>6205</v>
      </c>
      <c r="C43" s="14" t="s">
        <v>131</v>
      </c>
      <c r="D43" s="9">
        <v>29709272702002</v>
      </c>
      <c r="E43" s="5">
        <v>10000</v>
      </c>
      <c r="F43" s="5">
        <v>12</v>
      </c>
      <c r="G43" s="7" t="str">
        <f t="shared" si="0"/>
        <v>5078031314053092</v>
      </c>
      <c r="H43" s="3" t="s">
        <v>154</v>
      </c>
      <c r="I43" t="s">
        <v>106</v>
      </c>
      <c r="J43" s="11" t="s">
        <v>155</v>
      </c>
      <c r="K43" s="11" t="s">
        <v>156</v>
      </c>
      <c r="L43" s="10" t="s">
        <v>4</v>
      </c>
      <c r="M43" s="10" t="s">
        <v>5</v>
      </c>
      <c r="N43" t="s">
        <v>133</v>
      </c>
      <c r="O43">
        <v>2</v>
      </c>
    </row>
    <row r="44" spans="2:15" x14ac:dyDescent="0.3">
      <c r="B44">
        <v>3139</v>
      </c>
      <c r="C44" t="s">
        <v>169</v>
      </c>
      <c r="D44" s="9">
        <v>26901032700492</v>
      </c>
      <c r="E44" s="5">
        <v>20000</v>
      </c>
      <c r="F44" s="5">
        <v>18</v>
      </c>
      <c r="G44" s="7" t="str">
        <f t="shared" si="0"/>
        <v>5078031390987809</v>
      </c>
      <c r="H44" s="3" t="s">
        <v>179</v>
      </c>
      <c r="I44" t="s">
        <v>110</v>
      </c>
      <c r="J44" s="11" t="s">
        <v>212</v>
      </c>
      <c r="K44" s="11" t="s">
        <v>211</v>
      </c>
      <c r="L44" s="10" t="s">
        <v>4</v>
      </c>
      <c r="M44" s="10" t="s">
        <v>5</v>
      </c>
      <c r="N44" t="s">
        <v>135</v>
      </c>
      <c r="O44">
        <v>2</v>
      </c>
    </row>
    <row r="45" spans="2:15" x14ac:dyDescent="0.3">
      <c r="B45">
        <v>5255</v>
      </c>
      <c r="C45" t="s">
        <v>172</v>
      </c>
      <c r="D45" s="9">
        <v>27401012701248</v>
      </c>
      <c r="E45" s="5">
        <v>25000</v>
      </c>
      <c r="F45" s="5">
        <v>18</v>
      </c>
      <c r="G45" s="7" t="str">
        <f t="shared" si="0"/>
        <v>5078031343817616</v>
      </c>
      <c r="H45" s="3" t="s">
        <v>184</v>
      </c>
      <c r="I45" t="s">
        <v>110</v>
      </c>
      <c r="J45" s="11" t="s">
        <v>210</v>
      </c>
      <c r="K45" s="11" t="s">
        <v>209</v>
      </c>
      <c r="L45" s="10" t="s">
        <v>4</v>
      </c>
      <c r="M45" s="10" t="s">
        <v>5</v>
      </c>
      <c r="N45" t="s">
        <v>135</v>
      </c>
      <c r="O45">
        <v>2</v>
      </c>
    </row>
    <row r="46" spans="2:15" x14ac:dyDescent="0.3">
      <c r="B46">
        <v>5555</v>
      </c>
      <c r="C46" t="s">
        <v>173</v>
      </c>
      <c r="D46" s="9">
        <v>26709102700497</v>
      </c>
      <c r="E46" s="5">
        <v>20000</v>
      </c>
      <c r="F46" s="5">
        <v>12</v>
      </c>
      <c r="G46" s="7" t="str">
        <f t="shared" si="0"/>
        <v>5078031315519786</v>
      </c>
      <c r="H46" s="3" t="s">
        <v>185</v>
      </c>
      <c r="I46" t="s">
        <v>106</v>
      </c>
      <c r="J46" s="11" t="s">
        <v>213</v>
      </c>
      <c r="K46" s="11" t="s">
        <v>186</v>
      </c>
      <c r="L46" s="10" t="s">
        <v>4</v>
      </c>
      <c r="M46" s="10" t="s">
        <v>5</v>
      </c>
      <c r="N46" t="s">
        <v>135</v>
      </c>
      <c r="O46">
        <v>2</v>
      </c>
    </row>
    <row r="47" spans="2:15" x14ac:dyDescent="0.3">
      <c r="B47">
        <v>5722</v>
      </c>
      <c r="C47" t="s">
        <v>175</v>
      </c>
      <c r="D47" s="9">
        <v>29211012703635</v>
      </c>
      <c r="E47" s="5">
        <v>40000</v>
      </c>
      <c r="F47" s="5">
        <v>18</v>
      </c>
      <c r="G47" s="7" t="str">
        <f t="shared" si="0"/>
        <v>5078031398147356</v>
      </c>
      <c r="H47" s="3" t="s">
        <v>188</v>
      </c>
      <c r="I47" t="s">
        <v>110</v>
      </c>
      <c r="J47" s="11" t="s">
        <v>208</v>
      </c>
      <c r="K47" s="11" t="s">
        <v>207</v>
      </c>
      <c r="L47" s="10" t="s">
        <v>4</v>
      </c>
      <c r="M47" s="10" t="s">
        <v>5</v>
      </c>
      <c r="N47" t="s">
        <v>135</v>
      </c>
      <c r="O47">
        <v>2</v>
      </c>
    </row>
    <row r="48" spans="2:15" x14ac:dyDescent="0.3">
      <c r="B48">
        <v>6023</v>
      </c>
      <c r="C48" t="s">
        <v>176</v>
      </c>
      <c r="D48" s="9">
        <v>28710172701488</v>
      </c>
      <c r="E48" s="5">
        <v>20000</v>
      </c>
      <c r="F48" s="5">
        <v>18</v>
      </c>
      <c r="G48" s="7" t="str">
        <f t="shared" si="0"/>
        <v>5078031313785637</v>
      </c>
      <c r="H48" s="3" t="s">
        <v>189</v>
      </c>
      <c r="I48" t="s">
        <v>107</v>
      </c>
      <c r="J48" s="11" t="s">
        <v>190</v>
      </c>
      <c r="K48" s="11" t="s">
        <v>191</v>
      </c>
      <c r="L48" s="10" t="s">
        <v>4</v>
      </c>
      <c r="M48" s="10" t="s">
        <v>5</v>
      </c>
      <c r="N48" t="s">
        <v>135</v>
      </c>
      <c r="O48">
        <v>2</v>
      </c>
    </row>
    <row r="51" spans="2:2" x14ac:dyDescent="0.3">
      <c r="B51">
        <v>5555</v>
      </c>
    </row>
  </sheetData>
  <autoFilter ref="A1:N1">
    <sortState ref="A2:N48">
      <sortCondition sortBy="cellColor" ref="B1" dxfId="5"/>
    </sortState>
  </autoFilter>
  <conditionalFormatting sqref="C1:C1048576">
    <cfRule type="duplicateValues" dxfId="4" priority="11"/>
  </conditionalFormatting>
  <conditionalFormatting sqref="B1:B1048576">
    <cfRule type="duplicateValues" dxfId="3" priority="10"/>
  </conditionalFormatting>
  <conditionalFormatting sqref="B2:N48">
    <cfRule type="expression" dxfId="2" priority="6">
      <formula>ROW()=CELL("row")</formula>
    </cfRule>
  </conditionalFormatting>
  <conditionalFormatting sqref="K1:K1048576">
    <cfRule type="duplicateValues" dxfId="1" priority="25"/>
  </conditionalFormatting>
  <conditionalFormatting sqref="J1:J1048576">
    <cfRule type="duplicateValues" dxfId="0" priority="3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2015-06-05T18:17:20Z</dcterms:created>
  <dcterms:modified xsi:type="dcterms:W3CDTF">2024-11-19T07:10:04Z</dcterms:modified>
</cp:coreProperties>
</file>