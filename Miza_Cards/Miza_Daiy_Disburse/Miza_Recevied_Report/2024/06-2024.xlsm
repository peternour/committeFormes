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5" i="1"/>
  <c r="G7" i="1"/>
  <c r="G8" i="1"/>
  <c r="G9" i="1"/>
  <c r="G10" i="1"/>
  <c r="G11" i="1"/>
  <c r="G12" i="1"/>
  <c r="G13" i="1"/>
  <c r="G66" i="1"/>
  <c r="G67" i="1"/>
  <c r="G29" i="1" l="1"/>
  <c r="G31" i="1"/>
  <c r="G37" i="1" l="1"/>
  <c r="G63" i="1" l="1"/>
  <c r="G62" i="1"/>
  <c r="G61" i="1"/>
  <c r="G59" i="1"/>
  <c r="G58" i="1"/>
  <c r="G57" i="1"/>
  <c r="G55" i="1"/>
  <c r="G54" i="1"/>
  <c r="G53" i="1"/>
  <c r="G49" i="1"/>
  <c r="G46" i="1"/>
  <c r="G44" i="1"/>
  <c r="G43" i="1"/>
  <c r="G40" i="1"/>
  <c r="G38" i="1"/>
  <c r="G35" i="1"/>
  <c r="G34" i="1"/>
  <c r="G33" i="1"/>
  <c r="G30" i="1"/>
  <c r="G27" i="1"/>
  <c r="G26" i="1"/>
  <c r="G6" i="1"/>
  <c r="G25" i="1"/>
  <c r="G19" i="1"/>
  <c r="G16" i="1"/>
  <c r="G15" i="1"/>
  <c r="G14" i="1"/>
  <c r="G65" i="1"/>
  <c r="G51" i="1"/>
  <c r="G48" i="1"/>
  <c r="G47" i="1"/>
  <c r="G42" i="1"/>
  <c r="G36" i="1"/>
  <c r="G3" i="1"/>
  <c r="G2" i="1"/>
  <c r="G28" i="1"/>
  <c r="G24" i="1"/>
  <c r="G23" i="1"/>
  <c r="G22" i="1"/>
  <c r="G21" i="1"/>
  <c r="G20" i="1"/>
  <c r="G18" i="1"/>
  <c r="G64" i="1"/>
  <c r="G60" i="1"/>
  <c r="G56" i="1"/>
  <c r="G52" i="1"/>
  <c r="G50" i="1"/>
  <c r="G45" i="1"/>
  <c r="G41" i="1"/>
  <c r="G39" i="1"/>
  <c r="G32" i="1"/>
  <c r="G17" i="1"/>
</calcChain>
</file>

<file path=xl/sharedStrings.xml><?xml version="1.0" encoding="utf-8"?>
<sst xmlns="http://schemas.openxmlformats.org/spreadsheetml/2006/main" count="570" uniqueCount="298">
  <si>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</si>
  <si>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</si>
  <si>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</si>
  <si>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</si>
  <si>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</si>
  <si>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</si>
  <si>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</si>
  <si>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</si>
  <si>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</si>
  <si>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</si>
  <si>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</si>
  <si>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</si>
  <si>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</si>
  <si>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</si>
  <si>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</si>
  <si>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</si>
  <si>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2683</t>
  </si>
  <si>
    <t>6141</t>
  </si>
  <si>
    <t>7783</t>
  </si>
  <si>
    <t>9502</t>
  </si>
  <si>
    <t>0626</t>
  </si>
  <si>
    <t>9862</t>
  </si>
  <si>
    <t>4855</t>
  </si>
  <si>
    <t>5443</t>
  </si>
  <si>
    <t>1740</t>
  </si>
  <si>
    <t>7394</t>
  </si>
  <si>
    <t>2252</t>
  </si>
  <si>
    <t>7772</t>
  </si>
  <si>
    <t>2958</t>
  </si>
  <si>
    <t>2234</t>
  </si>
  <si>
    <t>4511</t>
  </si>
  <si>
    <t>6082</t>
  </si>
  <si>
    <t>9215</t>
  </si>
  <si>
    <t>4895</t>
  </si>
  <si>
    <t>9634</t>
  </si>
  <si>
    <t>0573</t>
  </si>
  <si>
    <t>5449</t>
  </si>
  <si>
    <t>2929</t>
  </si>
  <si>
    <t>7182</t>
  </si>
  <si>
    <t>4278</t>
  </si>
  <si>
    <t>0787</t>
  </si>
  <si>
    <t>9115</t>
  </si>
  <si>
    <t>9525</t>
  </si>
  <si>
    <t>7380</t>
  </si>
  <si>
    <t>1735</t>
  </si>
  <si>
    <t>1485</t>
  </si>
  <si>
    <t>4941</t>
  </si>
  <si>
    <t>9185</t>
  </si>
  <si>
    <t>2185</t>
  </si>
  <si>
    <t>2528</t>
  </si>
  <si>
    <t>3654</t>
  </si>
  <si>
    <t>1694</t>
  </si>
  <si>
    <t>2597</t>
  </si>
  <si>
    <t>2431</t>
  </si>
  <si>
    <t>4229</t>
  </si>
  <si>
    <t>0171</t>
  </si>
  <si>
    <t>3831</t>
  </si>
  <si>
    <t>6861</t>
  </si>
  <si>
    <t>5143</t>
  </si>
  <si>
    <t>9073</t>
  </si>
  <si>
    <t>1736</t>
  </si>
  <si>
    <t>0492</t>
  </si>
  <si>
    <t>6901</t>
  </si>
  <si>
    <t>3103</t>
  </si>
  <si>
    <t>8910</t>
  </si>
  <si>
    <t>0694</t>
  </si>
  <si>
    <t>5883</t>
  </si>
  <si>
    <t>9963</t>
  </si>
  <si>
    <t>8239</t>
  </si>
  <si>
    <t>3481</t>
  </si>
  <si>
    <t>9178</t>
  </si>
  <si>
    <t>4833</t>
  </si>
  <si>
    <t>2569</t>
  </si>
  <si>
    <t>9016</t>
  </si>
  <si>
    <t>1291</t>
  </si>
  <si>
    <t>7041</t>
  </si>
  <si>
    <t>7593</t>
  </si>
  <si>
    <t>2777</t>
  </si>
  <si>
    <t>2118</t>
  </si>
  <si>
    <t>2945</t>
  </si>
  <si>
    <t>6868</t>
  </si>
  <si>
    <t>1178</t>
  </si>
  <si>
    <t>5233</t>
  </si>
  <si>
    <t>3866</t>
  </si>
  <si>
    <t>2423</t>
  </si>
  <si>
    <t>9628</t>
  </si>
  <si>
    <t>6529</t>
  </si>
  <si>
    <t>انطونيوس عبدالمسيح زكي عجايبي</t>
  </si>
  <si>
    <t>بيتر مجدي سملوك كامل</t>
  </si>
  <si>
    <t>حسن عبدالرحمن خليل عبدالله</t>
  </si>
  <si>
    <t>عمر علي سيد علي</t>
  </si>
  <si>
    <t>لبني عطاالله سليمان خليل</t>
  </si>
  <si>
    <t>صبحي نعيم بشواري حنا</t>
  </si>
  <si>
    <t>سمره ابوالمجد علي حسن</t>
  </si>
  <si>
    <t>خليفه عبدالناصر محمد خضر</t>
  </si>
  <si>
    <t>مصطفي امدح عبدالمبدي حسين</t>
  </si>
  <si>
    <t>بخيته علي محمد احمد</t>
  </si>
  <si>
    <t>سفين اندريه شطبي العبد</t>
  </si>
  <si>
    <t>وليد سعد محمود محمد</t>
  </si>
  <si>
    <t>عدليه عبدالفتاح احمد محمد</t>
  </si>
  <si>
    <t>علي محمود حسين سيد</t>
  </si>
  <si>
    <t>انور ابراهيم جعفري حسين</t>
  </si>
  <si>
    <t>سامح مطرود محمود عبدالمطلب</t>
  </si>
  <si>
    <t>محمود عبداللاه محمد سيد</t>
  </si>
  <si>
    <t>عادل عبدالله مسعود عبدالله</t>
  </si>
  <si>
    <t>طوني ميلاد طوني بشاي</t>
  </si>
  <si>
    <t>عبدالفتاح علي احمد ابراهيم</t>
  </si>
  <si>
    <t>اسماء بهيج شعبان عباس</t>
  </si>
  <si>
    <t>ناهد ابراهيم محمد ابراهيم</t>
  </si>
  <si>
    <t>احمد محمد احمد بخيت</t>
  </si>
  <si>
    <t>هاني سمير بوري تكلا</t>
  </si>
  <si>
    <t>ريمون فتحي وليم امين</t>
  </si>
  <si>
    <t>جرجس عبدمريم عبدالنور بانود</t>
  </si>
  <si>
    <t>حمدي عبدالستار امين السيد</t>
  </si>
  <si>
    <t>جرجس عيسي عبدالسيد عويضه</t>
  </si>
  <si>
    <t>طلعت ابراهيم احمد محمد</t>
  </si>
  <si>
    <t>محمد فتحي ماجد مصطفي</t>
  </si>
  <si>
    <t>ايمن محمد حسن محمد</t>
  </si>
  <si>
    <t>نعمت عبدالودود عبدالحليم موسي</t>
  </si>
  <si>
    <t>نشات لطيف فؤاد مقار</t>
  </si>
  <si>
    <t>ابوالوفا عبداللطيف عبدالوهاب حفني</t>
  </si>
  <si>
    <t>احمد عادل فهمي خلاف</t>
  </si>
  <si>
    <t>شاديه احمد محمود حفني</t>
  </si>
  <si>
    <t>محمود مصطفي عبدالرحمن احمد</t>
  </si>
  <si>
    <t>سوما عبده محمد احمد ابراهيم</t>
  </si>
  <si>
    <t>عاطف محمد حسين علي</t>
  </si>
  <si>
    <t>زينب حماده احمد محمد</t>
  </si>
  <si>
    <t>دعاء عبدالشافي محمد حمادي</t>
  </si>
  <si>
    <t>سهير فوزي العبد لوندي</t>
  </si>
  <si>
    <t>محمد ابوالحمد محمد حامد</t>
  </si>
  <si>
    <t>اسماء محمد رمضان علي</t>
  </si>
  <si>
    <t>حسين محمود حسين سيد</t>
  </si>
  <si>
    <t>شيماء محمد محمود عبدالعزيز</t>
  </si>
  <si>
    <t>رقيه عبدالناصر ابوعمره محمد</t>
  </si>
  <si>
    <t>سيده سيد امين السيد</t>
  </si>
  <si>
    <t>عزه عبدالوهاب عابدين محمد</t>
  </si>
  <si>
    <t>ساره عبده عبدالراضي عبدالحليم</t>
  </si>
  <si>
    <t>شيماء صلاح احمد عابد</t>
  </si>
  <si>
    <t>هناء يوسف احمد يوسف</t>
  </si>
  <si>
    <t>هايدي صلاح ميلاد زكي</t>
  </si>
  <si>
    <t>نيرمين بخيت تادرس عطيه</t>
  </si>
  <si>
    <t>بخيته بدوي حسين محمود</t>
  </si>
  <si>
    <t>01208047551</t>
  </si>
  <si>
    <t>01019684397</t>
  </si>
  <si>
    <t>01022171079</t>
  </si>
  <si>
    <t>01007353403</t>
  </si>
  <si>
    <t>01289053825</t>
  </si>
  <si>
    <t>01208551317</t>
  </si>
  <si>
    <t>01100982269</t>
  </si>
  <si>
    <t>01070372017</t>
  </si>
  <si>
    <t>01158560505</t>
  </si>
  <si>
    <t>01065598414</t>
  </si>
  <si>
    <t>01203859109</t>
  </si>
  <si>
    <t>01011859954</t>
  </si>
  <si>
    <t>01027891092</t>
  </si>
  <si>
    <t>01097451056</t>
  </si>
  <si>
    <t>01033870543</t>
  </si>
  <si>
    <t>01149734514</t>
  </si>
  <si>
    <t>01014193012</t>
  </si>
  <si>
    <t>01276163375</t>
  </si>
  <si>
    <t>01155559183</t>
  </si>
  <si>
    <t>01111963740</t>
  </si>
  <si>
    <t>01118272587</t>
  </si>
  <si>
    <t>01022953811</t>
  </si>
  <si>
    <t>01024774991</t>
  </si>
  <si>
    <t>01220126330</t>
  </si>
  <si>
    <t>01224114079</t>
  </si>
  <si>
    <t>01280828167</t>
  </si>
  <si>
    <t>01014675622</t>
  </si>
  <si>
    <t>01202759334</t>
  </si>
  <si>
    <t>01030327581</t>
  </si>
  <si>
    <t>01010068251</t>
  </si>
  <si>
    <t>01200943009</t>
  </si>
  <si>
    <t>01150239577</t>
  </si>
  <si>
    <t>01143241824</t>
  </si>
  <si>
    <t>01029550815</t>
  </si>
  <si>
    <t>01096738358</t>
  </si>
  <si>
    <t>01061809875</t>
  </si>
  <si>
    <t>01060751233</t>
  </si>
  <si>
    <t>01012608892</t>
  </si>
  <si>
    <t>01015783962</t>
  </si>
  <si>
    <t>01271479681</t>
  </si>
  <si>
    <t>01033175382</t>
  </si>
  <si>
    <t>01114878036</t>
  </si>
  <si>
    <t>01552675929</t>
  </si>
  <si>
    <t>01503593253</t>
  </si>
  <si>
    <t>01098548974</t>
  </si>
  <si>
    <t>01125067196</t>
  </si>
  <si>
    <t>01017244070</t>
  </si>
  <si>
    <t>01010419371</t>
  </si>
  <si>
    <t>01003976496</t>
  </si>
  <si>
    <t>01280132872</t>
  </si>
  <si>
    <t>01004492880</t>
  </si>
  <si>
    <t>البنك الاهلى المصري</t>
  </si>
  <si>
    <t>ايدي في ايدك</t>
  </si>
  <si>
    <t>هدرا وحيد دكران</t>
  </si>
  <si>
    <t>ابانوب عاطف سعدى</t>
  </si>
  <si>
    <t>اميل رفعت حبيب بساده</t>
  </si>
  <si>
    <t>مينا مخلف نسيم</t>
  </si>
  <si>
    <t>ابانوب سعيد وصفى</t>
  </si>
  <si>
    <t>كيرلس عاطف ثابت</t>
  </si>
  <si>
    <t>نصحى مقار نصحى</t>
  </si>
  <si>
    <t>اميل معوض فخرى</t>
  </si>
  <si>
    <t>01009975190</t>
  </si>
  <si>
    <t>01115281920</t>
  </si>
  <si>
    <t>الاسباني</t>
  </si>
  <si>
    <t>0320</t>
  </si>
  <si>
    <t>0907</t>
  </si>
  <si>
    <t>3130</t>
  </si>
  <si>
    <t>3958</t>
  </si>
  <si>
    <t>4436</t>
  </si>
  <si>
    <t>8936</t>
  </si>
  <si>
    <t>3962</t>
  </si>
  <si>
    <t>9526</t>
  </si>
  <si>
    <t>4113</t>
  </si>
  <si>
    <t>3976</t>
  </si>
  <si>
    <t>7387</t>
  </si>
  <si>
    <t>5662</t>
  </si>
  <si>
    <t>0717</t>
  </si>
  <si>
    <t>8858</t>
  </si>
  <si>
    <t>4337</t>
  </si>
  <si>
    <t>0846</t>
  </si>
  <si>
    <t>1434</t>
  </si>
  <si>
    <t>0937</t>
  </si>
  <si>
    <t>3620</t>
  </si>
  <si>
    <t>0</t>
  </si>
  <si>
    <t>3280</t>
  </si>
  <si>
    <t>1241</t>
  </si>
  <si>
    <t>6536</t>
  </si>
  <si>
    <t>8183</t>
  </si>
  <si>
    <t>5939</t>
  </si>
  <si>
    <t>0052</t>
  </si>
  <si>
    <t>6216</t>
  </si>
  <si>
    <t>1805</t>
  </si>
  <si>
    <t>7113</t>
  </si>
  <si>
    <t>6871</t>
  </si>
  <si>
    <t>7134</t>
  </si>
  <si>
    <t>8930</t>
  </si>
  <si>
    <t>0251</t>
  </si>
  <si>
    <t>1317</t>
  </si>
  <si>
    <t>1060</t>
  </si>
  <si>
    <t>6001</t>
  </si>
  <si>
    <t>1147</t>
  </si>
  <si>
    <t>4961</t>
  </si>
  <si>
    <t>5979</t>
  </si>
  <si>
    <t>4763</t>
  </si>
  <si>
    <t>4920</t>
  </si>
  <si>
    <t>صلاح نور ابوالحمد عيسي</t>
  </si>
  <si>
    <t>كيرلس صبحي نعيم بشواي</t>
  </si>
  <si>
    <t>الشيماء جادالكريم احمد زايد</t>
  </si>
  <si>
    <t>احمد عادل عبدالفتاح عبدالسلام</t>
  </si>
  <si>
    <t>فايزه عياد جريس يوسف</t>
  </si>
  <si>
    <t>ورده صابر عبدالصبور ابوالحمد</t>
  </si>
  <si>
    <t>فتحي عبدالستار محمد احمد</t>
  </si>
  <si>
    <t>ليله حماده محمد عيسي</t>
  </si>
  <si>
    <t>شاديه عبداللطيف حفني بخيت</t>
  </si>
  <si>
    <t>اكرم عبدالزين لطفي عبدالشافي</t>
  </si>
  <si>
    <t>سميره علي سيد علي</t>
  </si>
  <si>
    <t>01012919822</t>
  </si>
  <si>
    <t>01210172821</t>
  </si>
  <si>
    <t>01276229144</t>
  </si>
  <si>
    <t>01064487215</t>
  </si>
  <si>
    <t>01229677005</t>
  </si>
  <si>
    <t>01023291873</t>
  </si>
  <si>
    <t>01097042099</t>
  </si>
  <si>
    <t>01013609787</t>
  </si>
  <si>
    <t>01050382551</t>
  </si>
  <si>
    <t>01011623993</t>
  </si>
  <si>
    <t>01064641183</t>
  </si>
  <si>
    <t>9940</t>
  </si>
  <si>
    <t>0184</t>
  </si>
  <si>
    <t>4651</t>
  </si>
  <si>
    <t>0291</t>
  </si>
  <si>
    <t>1993</t>
  </si>
  <si>
    <t>1482</t>
  </si>
  <si>
    <t>5295</t>
  </si>
  <si>
    <t>0910</t>
  </si>
  <si>
    <t>0139</t>
  </si>
  <si>
    <t>7148</t>
  </si>
  <si>
    <t>1697</t>
  </si>
  <si>
    <t>6472</t>
  </si>
  <si>
    <t>5731</t>
  </si>
  <si>
    <t>7123</t>
  </si>
  <si>
    <t>الفرعية - اهلي</t>
  </si>
  <si>
    <t>4987</t>
  </si>
  <si>
    <t>4979</t>
  </si>
  <si>
    <t>0960</t>
  </si>
  <si>
    <t>4206</t>
  </si>
  <si>
    <t>4667</t>
  </si>
  <si>
    <t>7868</t>
  </si>
  <si>
    <t>6354</t>
  </si>
  <si>
    <t>6780</t>
  </si>
  <si>
    <t>7089</t>
  </si>
  <si>
    <t>3829</t>
  </si>
  <si>
    <t>5980</t>
  </si>
  <si>
    <t>1264</t>
  </si>
  <si>
    <t>4628</t>
  </si>
  <si>
    <t>4540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</si>
</sst>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1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60"/>
  <sheetViews>
    <sheetView rightToLeft="1" tabSelected="1" topLeftCell="A59" zoomScale="115" zoomScaleNormal="115" workbookViewId="0">
      <selection activeCell="B65" sqref="B65:E65 G65:I65"/>
    </sheetView>
  </sheetViews>
  <sheetFormatPr defaultRowHeight="14.4" x14ac:dyDescent="0.3"/>
  <cols>
    <col min="1" max="1" width="4.109375" style="14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18.44140625" customWidth="1"/>
  </cols>
  <sheetData>
    <row r="1" spans="1:14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4">
        <v>37</v>
      </c>
      <c r="B2">
        <v>4909</v>
      </c>
      <c r="C2" t="s">
        <v>123</v>
      </c>
      <c r="D2" s="9">
        <v>26808252701414</v>
      </c>
      <c r="E2" s="5">
        <v>5000</v>
      </c>
      <c r="F2" s="5">
        <v>18</v>
      </c>
      <c r="G2" s="12" t="str">
        <f t="shared" ref="G2:G33" si="0">CONCATENATE(M2,L2,K2,J2)</f>
        <v>5078031370893829</v>
      </c>
      <c r="H2" s="3" t="s">
        <v>176</v>
      </c>
      <c r="I2" t="s">
        <v>200</v>
      </c>
      <c r="J2" s="11" t="s">
        <v>293</v>
      </c>
      <c r="K2" s="11" t="s">
        <v>292</v>
      </c>
      <c r="L2" s="10" t="s">
        <v>4</v>
      </c>
      <c r="M2" s="10" t="s">
        <v>5</v>
      </c>
      <c r="N2" t="s">
        <v>194</v>
      </c>
    </row>
    <row r="3" spans="1:14" x14ac:dyDescent="0.3">
      <c r="A3" s="14">
        <v>39</v>
      </c>
      <c r="B3">
        <v>4957</v>
      </c>
      <c r="C3" t="s">
        <v>121</v>
      </c>
      <c r="D3" s="9">
        <v>28906212700139</v>
      </c>
      <c r="E3" s="5">
        <v>20000</v>
      </c>
      <c r="F3" s="5">
        <v>18</v>
      </c>
      <c r="G3" s="12" t="str">
        <f t="shared" si="0"/>
        <v>5078031359801264</v>
      </c>
      <c r="H3" s="3" t="s">
        <v>174</v>
      </c>
      <c r="I3" t="s">
        <v>199</v>
      </c>
      <c r="J3" s="11" t="s">
        <v>295</v>
      </c>
      <c r="K3" s="11" t="s">
        <v>294</v>
      </c>
      <c r="L3" s="10" t="s">
        <v>4</v>
      </c>
      <c r="M3" s="10" t="s">
        <v>5</v>
      </c>
      <c r="N3" t="s">
        <v>194</v>
      </c>
    </row>
    <row r="4" spans="1:14" x14ac:dyDescent="0.3">
      <c r="B4">
        <v>2961</v>
      </c>
      <c r="C4" t="s">
        <v>247</v>
      </c>
      <c r="D4" s="9">
        <v>26512112703054</v>
      </c>
      <c r="E4" s="5">
        <v>29000</v>
      </c>
      <c r="F4" s="5">
        <v>18</v>
      </c>
      <c r="G4" s="12" t="str">
        <f t="shared" si="0"/>
        <v>5078031309604206</v>
      </c>
      <c r="H4" s="3" t="s">
        <v>258</v>
      </c>
      <c r="I4" t="s">
        <v>201</v>
      </c>
      <c r="J4" s="11" t="s">
        <v>287</v>
      </c>
      <c r="K4" s="11" t="s">
        <v>286</v>
      </c>
      <c r="L4" s="10" t="s">
        <v>4</v>
      </c>
      <c r="M4" s="10" t="s">
        <v>5</v>
      </c>
      <c r="N4" t="s">
        <v>283</v>
      </c>
    </row>
    <row r="5" spans="1:14" x14ac:dyDescent="0.3">
      <c r="B5">
        <v>4475</v>
      </c>
      <c r="C5" t="s">
        <v>248</v>
      </c>
      <c r="D5" s="9">
        <v>29402282700174</v>
      </c>
      <c r="E5" s="5">
        <v>29000</v>
      </c>
      <c r="F5" s="5">
        <v>18</v>
      </c>
      <c r="G5" s="12" t="str">
        <f t="shared" si="0"/>
        <v>5078031363546780</v>
      </c>
      <c r="H5" s="3" t="s">
        <v>259</v>
      </c>
      <c r="I5" t="s">
        <v>201</v>
      </c>
      <c r="J5" s="11" t="s">
        <v>291</v>
      </c>
      <c r="K5" s="11" t="s">
        <v>290</v>
      </c>
      <c r="L5" s="10" t="s">
        <v>4</v>
      </c>
      <c r="M5" s="10" t="s">
        <v>5</v>
      </c>
      <c r="N5" t="s">
        <v>283</v>
      </c>
    </row>
    <row r="6" spans="1:14" x14ac:dyDescent="0.3">
      <c r="A6" s="14">
        <v>6</v>
      </c>
      <c r="B6">
        <v>4604</v>
      </c>
      <c r="C6" t="s">
        <v>109</v>
      </c>
      <c r="D6" s="9">
        <v>29401042702432</v>
      </c>
      <c r="E6" s="5">
        <v>25000</v>
      </c>
      <c r="F6" s="5">
        <v>18</v>
      </c>
      <c r="G6" s="12" t="str">
        <f t="shared" si="0"/>
        <v>5078031324314229</v>
      </c>
      <c r="H6" s="3" t="s">
        <v>164</v>
      </c>
      <c r="I6" t="s">
        <v>196</v>
      </c>
      <c r="J6" s="11" t="s">
        <v>54</v>
      </c>
      <c r="K6" s="11" t="s">
        <v>53</v>
      </c>
      <c r="L6" s="10" t="s">
        <v>4</v>
      </c>
      <c r="M6" s="10" t="s">
        <v>5</v>
      </c>
      <c r="N6" t="s">
        <v>193</v>
      </c>
    </row>
    <row r="7" spans="1:14" x14ac:dyDescent="0.3">
      <c r="A7" s="14">
        <v>51</v>
      </c>
      <c r="B7">
        <v>4939</v>
      </c>
      <c r="C7" t="s">
        <v>249</v>
      </c>
      <c r="D7" s="9">
        <v>29408242701346</v>
      </c>
      <c r="E7" s="5">
        <v>20000</v>
      </c>
      <c r="F7" s="5">
        <v>18</v>
      </c>
      <c r="G7" s="12" t="str">
        <f t="shared" si="0"/>
        <v>5078031301849940</v>
      </c>
      <c r="H7" s="3" t="s">
        <v>260</v>
      </c>
      <c r="I7" t="s">
        <v>196</v>
      </c>
      <c r="J7" s="11" t="s">
        <v>269</v>
      </c>
      <c r="K7" s="11" t="s">
        <v>270</v>
      </c>
      <c r="L7" s="10" t="s">
        <v>4</v>
      </c>
      <c r="M7" s="10" t="s">
        <v>5</v>
      </c>
      <c r="N7" t="s">
        <v>283</v>
      </c>
    </row>
    <row r="8" spans="1:14" x14ac:dyDescent="0.3">
      <c r="B8">
        <v>4990</v>
      </c>
      <c r="C8" t="s">
        <v>250</v>
      </c>
      <c r="D8" s="9">
        <v>29901022700738</v>
      </c>
      <c r="E8" s="5">
        <v>20000</v>
      </c>
      <c r="F8" s="5">
        <v>18</v>
      </c>
      <c r="G8" s="12" t="str">
        <f t="shared" si="0"/>
        <v>5078031346677868</v>
      </c>
      <c r="H8" s="3" t="s">
        <v>261</v>
      </c>
      <c r="I8" t="s">
        <v>196</v>
      </c>
      <c r="J8" s="11" t="s">
        <v>289</v>
      </c>
      <c r="K8" s="11" t="s">
        <v>288</v>
      </c>
      <c r="L8" s="10" t="s">
        <v>4</v>
      </c>
      <c r="M8" s="10" t="s">
        <v>5</v>
      </c>
      <c r="N8" t="s">
        <v>283</v>
      </c>
    </row>
    <row r="9" spans="1:14" x14ac:dyDescent="0.3">
      <c r="B9">
        <v>5344</v>
      </c>
      <c r="C9" t="s">
        <v>251</v>
      </c>
      <c r="D9" s="9">
        <v>26808300104024</v>
      </c>
      <c r="E9" s="5">
        <v>10000</v>
      </c>
      <c r="F9" s="5">
        <v>12</v>
      </c>
      <c r="G9" s="12" t="str">
        <f t="shared" si="0"/>
        <v>5078031375934628</v>
      </c>
      <c r="H9" s="3" t="s">
        <v>262</v>
      </c>
      <c r="I9" t="s">
        <v>200</v>
      </c>
      <c r="J9" s="11" t="s">
        <v>296</v>
      </c>
      <c r="K9" s="11" t="s">
        <v>76</v>
      </c>
      <c r="L9" s="10" t="s">
        <v>4</v>
      </c>
      <c r="M9" s="10" t="s">
        <v>5</v>
      </c>
      <c r="N9" t="s">
        <v>283</v>
      </c>
    </row>
    <row r="10" spans="1:14" x14ac:dyDescent="0.3">
      <c r="A10" s="14">
        <v>52</v>
      </c>
      <c r="B10">
        <v>5949</v>
      </c>
      <c r="C10" t="s">
        <v>252</v>
      </c>
      <c r="D10" s="9">
        <v>29312142700981</v>
      </c>
      <c r="E10" s="5">
        <v>10000</v>
      </c>
      <c r="F10" s="5">
        <v>18</v>
      </c>
      <c r="G10" s="12" t="str">
        <f t="shared" si="0"/>
        <v>5078031302914651</v>
      </c>
      <c r="H10" s="3" t="s">
        <v>263</v>
      </c>
      <c r="I10" t="s">
        <v>200</v>
      </c>
      <c r="J10" s="11" t="s">
        <v>271</v>
      </c>
      <c r="K10" s="11" t="s">
        <v>272</v>
      </c>
      <c r="L10" s="10" t="s">
        <v>4</v>
      </c>
      <c r="M10" s="10" t="s">
        <v>5</v>
      </c>
      <c r="N10" t="s">
        <v>283</v>
      </c>
    </row>
    <row r="11" spans="1:14" x14ac:dyDescent="0.3">
      <c r="A11" s="14">
        <v>53</v>
      </c>
      <c r="B11">
        <v>5950</v>
      </c>
      <c r="C11" t="s">
        <v>253</v>
      </c>
      <c r="D11" s="9">
        <v>26602142700571</v>
      </c>
      <c r="E11" s="5">
        <v>20000</v>
      </c>
      <c r="F11" s="5">
        <v>18</v>
      </c>
      <c r="G11" s="12" t="str">
        <f t="shared" si="0"/>
        <v>5078031314821993</v>
      </c>
      <c r="H11" s="3" t="s">
        <v>264</v>
      </c>
      <c r="I11" t="s">
        <v>201</v>
      </c>
      <c r="J11" s="11" t="s">
        <v>273</v>
      </c>
      <c r="K11" s="11" t="s">
        <v>274</v>
      </c>
      <c r="L11" s="10" t="s">
        <v>4</v>
      </c>
      <c r="M11" s="10" t="s">
        <v>5</v>
      </c>
      <c r="N11" t="s">
        <v>283</v>
      </c>
    </row>
    <row r="12" spans="1:14" x14ac:dyDescent="0.3">
      <c r="A12" s="14">
        <v>54</v>
      </c>
      <c r="B12">
        <v>5951</v>
      </c>
      <c r="C12" t="s">
        <v>254</v>
      </c>
      <c r="D12" s="9">
        <v>27609062700421</v>
      </c>
      <c r="E12" s="5">
        <v>20000</v>
      </c>
      <c r="F12" s="5">
        <v>18</v>
      </c>
      <c r="G12" s="12" t="str">
        <f t="shared" si="0"/>
        <v>5078031309105295</v>
      </c>
      <c r="H12" s="3" t="s">
        <v>265</v>
      </c>
      <c r="I12" t="s">
        <v>201</v>
      </c>
      <c r="J12" s="11" t="s">
        <v>275</v>
      </c>
      <c r="K12" s="11" t="s">
        <v>276</v>
      </c>
      <c r="L12" s="10" t="s">
        <v>4</v>
      </c>
      <c r="M12" s="10" t="s">
        <v>5</v>
      </c>
      <c r="N12" t="s">
        <v>283</v>
      </c>
    </row>
    <row r="13" spans="1:14" x14ac:dyDescent="0.3">
      <c r="A13" s="14">
        <v>55</v>
      </c>
      <c r="B13">
        <v>5952</v>
      </c>
      <c r="C13" t="s">
        <v>255</v>
      </c>
      <c r="D13" s="9">
        <v>27005162700441</v>
      </c>
      <c r="E13" s="5">
        <v>20000</v>
      </c>
      <c r="F13" s="5">
        <v>18</v>
      </c>
      <c r="G13" s="12" t="str">
        <f t="shared" si="0"/>
        <v>5078031371480139</v>
      </c>
      <c r="H13" s="3" t="s">
        <v>266</v>
      </c>
      <c r="I13" t="s">
        <v>198</v>
      </c>
      <c r="J13" s="11" t="s">
        <v>277</v>
      </c>
      <c r="K13" s="11" t="s">
        <v>278</v>
      </c>
      <c r="L13" s="10" t="s">
        <v>4</v>
      </c>
      <c r="M13" s="10" t="s">
        <v>5</v>
      </c>
      <c r="N13" t="s">
        <v>283</v>
      </c>
    </row>
    <row r="14" spans="1:14" x14ac:dyDescent="0.3">
      <c r="A14" s="14">
        <v>1</v>
      </c>
      <c r="B14">
        <v>1662</v>
      </c>
      <c r="C14" t="s">
        <v>114</v>
      </c>
      <c r="D14" s="9">
        <v>28709012700878</v>
      </c>
      <c r="E14" s="5">
        <v>100000</v>
      </c>
      <c r="F14" s="5">
        <v>18</v>
      </c>
      <c r="G14" s="12" t="str">
        <f t="shared" si="0"/>
        <v>5078031309373620</v>
      </c>
      <c r="H14" s="3" t="s">
        <v>203</v>
      </c>
      <c r="I14" t="s">
        <v>195</v>
      </c>
      <c r="J14" s="11" t="s">
        <v>224</v>
      </c>
      <c r="K14" s="11" t="s">
        <v>223</v>
      </c>
      <c r="L14" s="10" t="s">
        <v>4</v>
      </c>
      <c r="M14" s="10" t="s">
        <v>5</v>
      </c>
      <c r="N14" t="s">
        <v>193</v>
      </c>
    </row>
    <row r="15" spans="1:14" x14ac:dyDescent="0.3">
      <c r="A15" s="14">
        <v>2</v>
      </c>
      <c r="B15">
        <v>2868</v>
      </c>
      <c r="C15" t="s">
        <v>113</v>
      </c>
      <c r="D15" s="9">
        <v>27008042700471</v>
      </c>
      <c r="E15" s="5">
        <v>20000</v>
      </c>
      <c r="F15" s="5">
        <v>18</v>
      </c>
      <c r="G15" s="12" t="str">
        <f t="shared" si="0"/>
        <v>5078031304926901</v>
      </c>
      <c r="H15" s="3" t="s">
        <v>168</v>
      </c>
      <c r="I15" t="s">
        <v>196</v>
      </c>
      <c r="J15" s="11" t="s">
        <v>62</v>
      </c>
      <c r="K15" s="11" t="s">
        <v>61</v>
      </c>
      <c r="L15" s="10" t="s">
        <v>4</v>
      </c>
      <c r="M15" s="10" t="s">
        <v>5</v>
      </c>
      <c r="N15" t="s">
        <v>193</v>
      </c>
    </row>
    <row r="16" spans="1:14" x14ac:dyDescent="0.3">
      <c r="A16" s="14">
        <v>3</v>
      </c>
      <c r="B16">
        <v>2926</v>
      </c>
      <c r="C16" t="s">
        <v>112</v>
      </c>
      <c r="D16" s="9">
        <v>28801022702295</v>
      </c>
      <c r="E16" s="5">
        <v>20000</v>
      </c>
      <c r="F16" s="5">
        <v>18</v>
      </c>
      <c r="G16" s="12" t="str">
        <f t="shared" si="0"/>
        <v>5078031390731736</v>
      </c>
      <c r="H16" s="3" t="s">
        <v>167</v>
      </c>
      <c r="I16" t="s">
        <v>197</v>
      </c>
      <c r="J16" s="11" t="s">
        <v>60</v>
      </c>
      <c r="K16" s="11" t="s">
        <v>59</v>
      </c>
      <c r="L16" s="10" t="s">
        <v>4</v>
      </c>
      <c r="M16" s="10" t="s">
        <v>5</v>
      </c>
      <c r="N16" t="s">
        <v>193</v>
      </c>
    </row>
    <row r="17" spans="1:18" x14ac:dyDescent="0.3">
      <c r="A17" s="14">
        <v>46</v>
      </c>
      <c r="B17">
        <v>3538</v>
      </c>
      <c r="C17" s="15" t="s">
        <v>141</v>
      </c>
      <c r="D17" s="9">
        <v>27809252703107</v>
      </c>
      <c r="E17" s="5">
        <v>15000</v>
      </c>
      <c r="F17" s="5">
        <v>18</v>
      </c>
      <c r="G17" s="12" t="str">
        <f t="shared" si="0"/>
        <v>5078032011474920</v>
      </c>
      <c r="H17" s="3" t="s">
        <v>192</v>
      </c>
      <c r="I17" t="s">
        <v>198</v>
      </c>
      <c r="J17" s="11" t="s">
        <v>246</v>
      </c>
      <c r="K17" s="11" t="s">
        <v>242</v>
      </c>
      <c r="L17" s="10" t="s">
        <v>206</v>
      </c>
      <c r="M17" s="10" t="s">
        <v>5</v>
      </c>
      <c r="N17" t="s">
        <v>205</v>
      </c>
    </row>
    <row r="18" spans="1:18" x14ac:dyDescent="0.3">
      <c r="A18" s="14">
        <v>29</v>
      </c>
      <c r="B18">
        <v>3724</v>
      </c>
      <c r="C18" t="s">
        <v>131</v>
      </c>
      <c r="D18" s="9">
        <v>29310132700212</v>
      </c>
      <c r="E18" s="5">
        <v>20000</v>
      </c>
      <c r="F18" s="5">
        <v>18</v>
      </c>
      <c r="G18" s="12" t="str">
        <f t="shared" si="0"/>
        <v>5078031396286529</v>
      </c>
      <c r="H18" s="3" t="s">
        <v>155</v>
      </c>
      <c r="I18" t="s">
        <v>199</v>
      </c>
      <c r="J18" s="11" t="s">
        <v>86</v>
      </c>
      <c r="K18" s="11" t="s">
        <v>85</v>
      </c>
      <c r="L18" s="10" t="s">
        <v>4</v>
      </c>
      <c r="M18" s="10" t="s">
        <v>5</v>
      </c>
      <c r="N18" t="s">
        <v>194</v>
      </c>
    </row>
    <row r="19" spans="1:18" x14ac:dyDescent="0.3">
      <c r="A19" s="14">
        <v>4</v>
      </c>
      <c r="B19">
        <v>3758</v>
      </c>
      <c r="C19" t="s">
        <v>111</v>
      </c>
      <c r="D19" s="9">
        <v>28604032700053</v>
      </c>
      <c r="E19" s="5">
        <v>29000</v>
      </c>
      <c r="F19" s="5">
        <v>18</v>
      </c>
      <c r="G19" s="12" t="str">
        <f t="shared" si="0"/>
        <v>5078031368615143</v>
      </c>
      <c r="H19" s="3" t="s">
        <v>166</v>
      </c>
      <c r="I19" t="s">
        <v>195</v>
      </c>
      <c r="J19" s="11" t="s">
        <v>58</v>
      </c>
      <c r="K19" s="11" t="s">
        <v>57</v>
      </c>
      <c r="L19" s="10" t="s">
        <v>4</v>
      </c>
      <c r="M19" s="10" t="s">
        <v>5</v>
      </c>
      <c r="N19" t="s">
        <v>193</v>
      </c>
    </row>
    <row r="20" spans="1:18" x14ac:dyDescent="0.3">
      <c r="A20" s="14">
        <v>30</v>
      </c>
      <c r="B20">
        <v>3845</v>
      </c>
      <c r="C20" t="s">
        <v>130</v>
      </c>
      <c r="D20" s="9">
        <v>28609082703608</v>
      </c>
      <c r="E20" s="5">
        <v>20000</v>
      </c>
      <c r="F20" s="5">
        <v>18</v>
      </c>
      <c r="G20" s="12" t="str">
        <f t="shared" si="0"/>
        <v>5078031338662423</v>
      </c>
      <c r="H20" s="3" t="s">
        <v>183</v>
      </c>
      <c r="I20" t="s">
        <v>196</v>
      </c>
      <c r="J20" s="11" t="s">
        <v>84</v>
      </c>
      <c r="K20" s="11" t="s">
        <v>83</v>
      </c>
      <c r="L20" s="10" t="s">
        <v>4</v>
      </c>
      <c r="M20" s="10" t="s">
        <v>5</v>
      </c>
      <c r="N20" t="s">
        <v>194</v>
      </c>
    </row>
    <row r="21" spans="1:18" x14ac:dyDescent="0.3">
      <c r="A21" s="14">
        <v>31</v>
      </c>
      <c r="B21">
        <v>3906</v>
      </c>
      <c r="C21" t="s">
        <v>129</v>
      </c>
      <c r="D21" s="9">
        <v>26412221500134</v>
      </c>
      <c r="E21" s="5">
        <v>15000</v>
      </c>
      <c r="F21" s="5">
        <v>18</v>
      </c>
      <c r="G21" s="12" t="str">
        <f t="shared" si="0"/>
        <v>5078031362161805</v>
      </c>
      <c r="H21" s="3" t="s">
        <v>182</v>
      </c>
      <c r="I21" t="s">
        <v>200</v>
      </c>
      <c r="J21" s="11" t="s">
        <v>233</v>
      </c>
      <c r="K21" s="11" t="s">
        <v>232</v>
      </c>
      <c r="L21" s="10" t="s">
        <v>4</v>
      </c>
      <c r="M21" s="10" t="s">
        <v>5</v>
      </c>
      <c r="N21" t="s">
        <v>194</v>
      </c>
    </row>
    <row r="22" spans="1:18" x14ac:dyDescent="0.3">
      <c r="A22" s="14">
        <v>32</v>
      </c>
      <c r="B22">
        <v>4203</v>
      </c>
      <c r="C22" t="s">
        <v>128</v>
      </c>
      <c r="D22" s="9">
        <v>26211042700788</v>
      </c>
      <c r="E22" s="5">
        <v>15000</v>
      </c>
      <c r="F22" s="5">
        <v>18</v>
      </c>
      <c r="G22" s="12" t="str">
        <f t="shared" si="0"/>
        <v>5078031388584337</v>
      </c>
      <c r="H22" s="3" t="s">
        <v>181</v>
      </c>
      <c r="I22" t="s">
        <v>201</v>
      </c>
      <c r="J22" s="11" t="s">
        <v>220</v>
      </c>
      <c r="K22" s="11" t="s">
        <v>219</v>
      </c>
      <c r="L22" s="10" t="s">
        <v>4</v>
      </c>
      <c r="M22" s="10" t="s">
        <v>5</v>
      </c>
      <c r="N22" t="s">
        <v>194</v>
      </c>
    </row>
    <row r="23" spans="1:18" x14ac:dyDescent="0.3">
      <c r="A23" s="14">
        <v>33</v>
      </c>
      <c r="B23">
        <v>4292</v>
      </c>
      <c r="C23" t="s">
        <v>127</v>
      </c>
      <c r="D23" s="9">
        <v>28708152701304</v>
      </c>
      <c r="E23" s="5">
        <v>20000</v>
      </c>
      <c r="F23" s="5">
        <v>18</v>
      </c>
      <c r="G23" s="12" t="str">
        <f t="shared" si="0"/>
        <v>5078031308461434</v>
      </c>
      <c r="H23" s="3" t="s">
        <v>180</v>
      </c>
      <c r="I23" t="s">
        <v>195</v>
      </c>
      <c r="J23" s="11" t="s">
        <v>222</v>
      </c>
      <c r="K23" s="11" t="s">
        <v>221</v>
      </c>
      <c r="L23" s="10" t="s">
        <v>4</v>
      </c>
      <c r="M23" s="10" t="s">
        <v>5</v>
      </c>
      <c r="N23" t="s">
        <v>194</v>
      </c>
    </row>
    <row r="24" spans="1:18" x14ac:dyDescent="0.3">
      <c r="A24" s="14">
        <v>34</v>
      </c>
      <c r="B24">
        <v>4387</v>
      </c>
      <c r="C24" t="s">
        <v>126</v>
      </c>
      <c r="D24" s="9">
        <v>29611212700167</v>
      </c>
      <c r="E24" s="5">
        <v>10000</v>
      </c>
      <c r="F24" s="5">
        <v>12</v>
      </c>
      <c r="G24" s="12" t="str">
        <f t="shared" si="0"/>
        <v>5078031371348930</v>
      </c>
      <c r="H24" s="3" t="s">
        <v>179</v>
      </c>
      <c r="I24" t="s">
        <v>195</v>
      </c>
      <c r="J24" s="11" t="s">
        <v>237</v>
      </c>
      <c r="K24" s="11" t="s">
        <v>236</v>
      </c>
      <c r="L24" s="10" t="s">
        <v>4</v>
      </c>
      <c r="M24" s="10" t="s">
        <v>5</v>
      </c>
      <c r="N24" t="s">
        <v>194</v>
      </c>
      <c r="O24" s="11" t="s">
        <v>49</v>
      </c>
      <c r="P24" s="11" t="s">
        <v>48</v>
      </c>
      <c r="Q24" s="10" t="s">
        <v>4</v>
      </c>
      <c r="R24" s="10" t="s">
        <v>5</v>
      </c>
    </row>
    <row r="25" spans="1:18" x14ac:dyDescent="0.3">
      <c r="A25" s="14">
        <v>5</v>
      </c>
      <c r="B25">
        <v>4388</v>
      </c>
      <c r="C25" t="s">
        <v>110</v>
      </c>
      <c r="D25" s="9">
        <v>27511192700511</v>
      </c>
      <c r="E25" s="5">
        <v>29000</v>
      </c>
      <c r="F25" s="5">
        <v>12</v>
      </c>
      <c r="G25" s="12" t="str">
        <f t="shared" si="0"/>
        <v>5078031301713831</v>
      </c>
      <c r="H25" s="3" t="s">
        <v>165</v>
      </c>
      <c r="I25" t="s">
        <v>195</v>
      </c>
      <c r="J25" s="11" t="s">
        <v>56</v>
      </c>
      <c r="K25" s="11" t="s">
        <v>55</v>
      </c>
      <c r="L25" s="10" t="s">
        <v>4</v>
      </c>
      <c r="M25" s="10" t="s">
        <v>5</v>
      </c>
      <c r="N25" t="s">
        <v>193</v>
      </c>
      <c r="O25" s="11" t="s">
        <v>47</v>
      </c>
      <c r="P25" s="11" t="s">
        <v>46</v>
      </c>
      <c r="Q25" s="10" t="s">
        <v>4</v>
      </c>
      <c r="R25" s="10" t="s">
        <v>5</v>
      </c>
    </row>
    <row r="26" spans="1:18" x14ac:dyDescent="0.3">
      <c r="A26" s="14">
        <v>7</v>
      </c>
      <c r="B26">
        <v>4713</v>
      </c>
      <c r="C26" t="s">
        <v>108</v>
      </c>
      <c r="D26" s="9">
        <v>29209222701061</v>
      </c>
      <c r="E26" s="5">
        <v>29000</v>
      </c>
      <c r="F26" s="5">
        <v>18</v>
      </c>
      <c r="G26" s="12" t="str">
        <f t="shared" si="0"/>
        <v>5078031339584436</v>
      </c>
      <c r="H26" s="3" t="s">
        <v>163</v>
      </c>
      <c r="I26" t="s">
        <v>201</v>
      </c>
      <c r="J26" s="11" t="s">
        <v>210</v>
      </c>
      <c r="K26" s="11" t="s">
        <v>209</v>
      </c>
      <c r="L26" s="10" t="s">
        <v>4</v>
      </c>
      <c r="M26" s="10" t="s">
        <v>5</v>
      </c>
      <c r="N26" t="s">
        <v>193</v>
      </c>
    </row>
    <row r="27" spans="1:18" x14ac:dyDescent="0.3">
      <c r="A27" s="14">
        <v>8</v>
      </c>
      <c r="B27">
        <v>4842</v>
      </c>
      <c r="C27" t="s">
        <v>107</v>
      </c>
      <c r="D27" s="9">
        <v>29301092701289</v>
      </c>
      <c r="E27" s="5">
        <v>20000</v>
      </c>
      <c r="F27" s="5">
        <v>18</v>
      </c>
      <c r="G27" s="12" t="str">
        <f t="shared" si="0"/>
        <v>5078031361412597</v>
      </c>
      <c r="H27" s="3" t="s">
        <v>162</v>
      </c>
      <c r="I27" t="s">
        <v>197</v>
      </c>
      <c r="J27" s="11" t="s">
        <v>52</v>
      </c>
      <c r="K27" s="11" t="s">
        <v>17</v>
      </c>
      <c r="L27" s="10" t="s">
        <v>4</v>
      </c>
      <c r="M27" s="10" t="s">
        <v>5</v>
      </c>
      <c r="N27" t="s">
        <v>193</v>
      </c>
    </row>
    <row r="28" spans="1:18" x14ac:dyDescent="0.3">
      <c r="A28" s="14">
        <v>35</v>
      </c>
      <c r="B28">
        <v>4855</v>
      </c>
      <c r="C28" t="s">
        <v>125</v>
      </c>
      <c r="D28" s="9">
        <v>27507292700554</v>
      </c>
      <c r="E28" s="5">
        <v>20000</v>
      </c>
      <c r="F28" s="5">
        <v>18</v>
      </c>
      <c r="G28" s="12" t="str">
        <f t="shared" si="0"/>
        <v>5078031395264113</v>
      </c>
      <c r="H28" s="3" t="s">
        <v>178</v>
      </c>
      <c r="I28" t="s">
        <v>196</v>
      </c>
      <c r="J28" s="11" t="s">
        <v>214</v>
      </c>
      <c r="K28" s="11" t="s">
        <v>213</v>
      </c>
      <c r="L28" s="10" t="s">
        <v>4</v>
      </c>
      <c r="M28" s="10" t="s">
        <v>5</v>
      </c>
      <c r="N28" t="s">
        <v>194</v>
      </c>
    </row>
    <row r="29" spans="1:18" x14ac:dyDescent="0.3">
      <c r="A29" s="14">
        <v>36</v>
      </c>
      <c r="B29">
        <v>4875</v>
      </c>
      <c r="C29" t="s">
        <v>124</v>
      </c>
      <c r="D29" s="9">
        <v>28301092702664</v>
      </c>
      <c r="E29" s="5">
        <v>20000</v>
      </c>
      <c r="F29" s="5">
        <v>18</v>
      </c>
      <c r="G29" s="12" t="str">
        <f t="shared" si="0"/>
        <v>5078031359390052</v>
      </c>
      <c r="H29" s="3" t="s">
        <v>177</v>
      </c>
      <c r="I29" t="s">
        <v>200</v>
      </c>
      <c r="J29" s="11" t="s">
        <v>231</v>
      </c>
      <c r="K29" s="11" t="s">
        <v>230</v>
      </c>
      <c r="L29" s="10" t="s">
        <v>4</v>
      </c>
      <c r="M29" s="10" t="s">
        <v>5</v>
      </c>
      <c r="N29" t="s">
        <v>194</v>
      </c>
    </row>
    <row r="30" spans="1:18" x14ac:dyDescent="0.3">
      <c r="A30" s="14">
        <v>9</v>
      </c>
      <c r="B30">
        <v>4922</v>
      </c>
      <c r="C30" t="s">
        <v>106</v>
      </c>
      <c r="D30" s="9">
        <v>27109152700834</v>
      </c>
      <c r="E30" s="5">
        <v>29000</v>
      </c>
      <c r="F30" s="5">
        <v>18</v>
      </c>
      <c r="G30" s="12" t="str">
        <f t="shared" si="0"/>
        <v>5078031336541694</v>
      </c>
      <c r="H30" s="3" t="s">
        <v>161</v>
      </c>
      <c r="I30" t="s">
        <v>197</v>
      </c>
      <c r="J30" s="11" t="s">
        <v>51</v>
      </c>
      <c r="K30" s="11" t="s">
        <v>50</v>
      </c>
      <c r="L30" s="10" t="s">
        <v>4</v>
      </c>
      <c r="M30" s="10" t="s">
        <v>5</v>
      </c>
      <c r="N30" t="s">
        <v>193</v>
      </c>
    </row>
    <row r="31" spans="1:18" x14ac:dyDescent="0.3">
      <c r="A31" s="14">
        <v>38</v>
      </c>
      <c r="B31">
        <v>4952</v>
      </c>
      <c r="C31" t="s">
        <v>122</v>
      </c>
      <c r="D31" s="9">
        <v>28001052700924</v>
      </c>
      <c r="E31" s="5">
        <v>20000</v>
      </c>
      <c r="F31" s="5">
        <v>18</v>
      </c>
      <c r="G31" s="12" t="str">
        <f t="shared" si="0"/>
        <v>5078031365368183</v>
      </c>
      <c r="H31" s="3" t="s">
        <v>175</v>
      </c>
      <c r="I31" t="s">
        <v>201</v>
      </c>
      <c r="J31" s="11" t="s">
        <v>229</v>
      </c>
      <c r="K31" s="11" t="s">
        <v>228</v>
      </c>
      <c r="L31" s="10" t="s">
        <v>4</v>
      </c>
      <c r="M31" s="10" t="s">
        <v>5</v>
      </c>
      <c r="N31" t="s">
        <v>194</v>
      </c>
    </row>
    <row r="32" spans="1:18" x14ac:dyDescent="0.3">
      <c r="A32" s="14">
        <v>47</v>
      </c>
      <c r="B32">
        <v>4999</v>
      </c>
      <c r="C32" s="15" t="s">
        <v>140</v>
      </c>
      <c r="D32" s="9">
        <v>28910012705087</v>
      </c>
      <c r="E32" s="5">
        <v>29000</v>
      </c>
      <c r="F32" s="5">
        <v>18</v>
      </c>
      <c r="G32" s="12" t="str">
        <f t="shared" si="0"/>
        <v>5078032009073130</v>
      </c>
      <c r="H32" s="3" t="s">
        <v>191</v>
      </c>
      <c r="I32" t="s">
        <v>200</v>
      </c>
      <c r="J32" s="11" t="s">
        <v>208</v>
      </c>
      <c r="K32" s="11" t="s">
        <v>207</v>
      </c>
      <c r="L32" s="10" t="s">
        <v>206</v>
      </c>
      <c r="M32" s="10" t="s">
        <v>5</v>
      </c>
      <c r="N32" t="s">
        <v>205</v>
      </c>
    </row>
    <row r="33" spans="1:18" x14ac:dyDescent="0.3">
      <c r="A33" s="14">
        <v>10</v>
      </c>
      <c r="B33">
        <v>5054</v>
      </c>
      <c r="C33" t="s">
        <v>105</v>
      </c>
      <c r="D33" s="9">
        <v>28202012701591</v>
      </c>
      <c r="E33" s="5">
        <v>100000</v>
      </c>
      <c r="F33" s="5">
        <v>18</v>
      </c>
      <c r="G33" s="12" t="str">
        <f t="shared" si="0"/>
        <v>5078031356620717</v>
      </c>
      <c r="H33" s="3" t="s">
        <v>160</v>
      </c>
      <c r="I33" t="s">
        <v>197</v>
      </c>
      <c r="J33" s="11" t="s">
        <v>218</v>
      </c>
      <c r="K33" s="11" t="s">
        <v>217</v>
      </c>
      <c r="L33" s="10" t="s">
        <v>4</v>
      </c>
      <c r="M33" s="10" t="s">
        <v>5</v>
      </c>
      <c r="N33" t="s">
        <v>193</v>
      </c>
    </row>
    <row r="34" spans="1:18" x14ac:dyDescent="0.3">
      <c r="A34" s="14">
        <v>11</v>
      </c>
      <c r="B34">
        <v>5178</v>
      </c>
      <c r="C34" t="s">
        <v>104</v>
      </c>
      <c r="D34" s="9">
        <v>29309232701153</v>
      </c>
      <c r="E34" s="5">
        <v>50000</v>
      </c>
      <c r="F34" s="5">
        <v>18</v>
      </c>
      <c r="G34" s="12" t="str">
        <f t="shared" ref="G34:G67" si="1">CONCATENATE(M34,L34,K34,J34)</f>
        <v>5078031339767387</v>
      </c>
      <c r="H34" s="3" t="s">
        <v>159</v>
      </c>
      <c r="I34" t="s">
        <v>200</v>
      </c>
      <c r="J34" s="11" t="s">
        <v>216</v>
      </c>
      <c r="K34" s="11" t="s">
        <v>215</v>
      </c>
      <c r="L34" s="10" t="s">
        <v>4</v>
      </c>
      <c r="M34" s="10" t="s">
        <v>5</v>
      </c>
      <c r="N34" t="s">
        <v>193</v>
      </c>
    </row>
    <row r="35" spans="1:18" x14ac:dyDescent="0.3">
      <c r="A35" s="14">
        <v>12</v>
      </c>
      <c r="B35">
        <v>5261</v>
      </c>
      <c r="C35" t="s">
        <v>103</v>
      </c>
      <c r="D35" s="9">
        <v>26510262700956</v>
      </c>
      <c r="E35" s="5">
        <v>29000</v>
      </c>
      <c r="F35" s="5">
        <v>18</v>
      </c>
      <c r="G35" s="12" t="str">
        <f t="shared" si="1"/>
        <v>5078031389363962</v>
      </c>
      <c r="H35" s="3" t="s">
        <v>158</v>
      </c>
      <c r="I35" t="s">
        <v>200</v>
      </c>
      <c r="J35" s="11" t="s">
        <v>212</v>
      </c>
      <c r="K35" s="11" t="s">
        <v>211</v>
      </c>
      <c r="L35" s="10" t="s">
        <v>4</v>
      </c>
      <c r="M35" s="10" t="s">
        <v>5</v>
      </c>
      <c r="N35" t="s">
        <v>193</v>
      </c>
      <c r="O35" s="11" t="s">
        <v>82</v>
      </c>
      <c r="P35" s="11" t="s">
        <v>81</v>
      </c>
      <c r="Q35" s="10" t="s">
        <v>4</v>
      </c>
      <c r="R35" s="10" t="s">
        <v>5</v>
      </c>
    </row>
    <row r="36" spans="1:18" x14ac:dyDescent="0.3">
      <c r="A36" s="14">
        <v>40</v>
      </c>
      <c r="B36">
        <v>5286</v>
      </c>
      <c r="C36" t="s">
        <v>120</v>
      </c>
      <c r="D36" s="9">
        <v>26611052700954</v>
      </c>
      <c r="E36" s="5">
        <v>20000</v>
      </c>
      <c r="F36" s="5">
        <v>18</v>
      </c>
      <c r="G36" s="12" t="str">
        <f t="shared" si="1"/>
        <v>5078031371136871</v>
      </c>
      <c r="H36" s="3" t="s">
        <v>173</v>
      </c>
      <c r="I36" t="s">
        <v>200</v>
      </c>
      <c r="J36" s="11" t="s">
        <v>235</v>
      </c>
      <c r="K36" s="11" t="s">
        <v>234</v>
      </c>
      <c r="L36" s="10" t="s">
        <v>4</v>
      </c>
      <c r="M36" s="10" t="s">
        <v>5</v>
      </c>
      <c r="N36" t="s">
        <v>194</v>
      </c>
      <c r="O36" s="11" t="s">
        <v>80</v>
      </c>
      <c r="P36" s="11" t="s">
        <v>79</v>
      </c>
      <c r="Q36" s="10" t="s">
        <v>4</v>
      </c>
      <c r="R36" s="10" t="s">
        <v>5</v>
      </c>
    </row>
    <row r="37" spans="1:18" x14ac:dyDescent="0.3">
      <c r="A37" s="14">
        <v>13</v>
      </c>
      <c r="B37">
        <v>5290</v>
      </c>
      <c r="C37" t="s">
        <v>102</v>
      </c>
      <c r="D37" s="9">
        <v>29210132700897</v>
      </c>
      <c r="E37" s="5">
        <v>29000</v>
      </c>
      <c r="F37" s="5">
        <v>18</v>
      </c>
      <c r="G37" s="12" t="str">
        <f t="shared" si="1"/>
        <v>5078031332801241</v>
      </c>
      <c r="H37" s="3" t="s">
        <v>157</v>
      </c>
      <c r="I37" t="s">
        <v>200</v>
      </c>
      <c r="J37" s="11" t="s">
        <v>227</v>
      </c>
      <c r="K37" s="11" t="s">
        <v>226</v>
      </c>
      <c r="L37" s="10" t="s">
        <v>4</v>
      </c>
      <c r="M37" s="10" t="s">
        <v>5</v>
      </c>
      <c r="N37" t="s">
        <v>193</v>
      </c>
      <c r="O37" s="11" t="s">
        <v>78</v>
      </c>
      <c r="P37" s="11" t="s">
        <v>77</v>
      </c>
      <c r="Q37" s="10" t="s">
        <v>4</v>
      </c>
      <c r="R37" s="10" t="s">
        <v>5</v>
      </c>
    </row>
    <row r="38" spans="1:18" x14ac:dyDescent="0.3">
      <c r="A38" s="14">
        <v>14</v>
      </c>
      <c r="B38">
        <v>5353</v>
      </c>
      <c r="C38" t="s">
        <v>101</v>
      </c>
      <c r="D38" s="9">
        <v>27109282700437</v>
      </c>
      <c r="E38" s="5">
        <v>29000</v>
      </c>
      <c r="F38" s="5">
        <v>18</v>
      </c>
      <c r="G38" s="12" t="str">
        <f t="shared" si="1"/>
        <v>5078031302511317</v>
      </c>
      <c r="H38" s="3" t="s">
        <v>156</v>
      </c>
      <c r="I38" t="s">
        <v>201</v>
      </c>
      <c r="J38" s="11" t="s">
        <v>239</v>
      </c>
      <c r="K38" s="11" t="s">
        <v>238</v>
      </c>
      <c r="L38" s="10" t="s">
        <v>4</v>
      </c>
      <c r="M38" s="10" t="s">
        <v>5</v>
      </c>
      <c r="N38" t="s">
        <v>193</v>
      </c>
    </row>
    <row r="39" spans="1:18" x14ac:dyDescent="0.3">
      <c r="A39" s="14">
        <v>48</v>
      </c>
      <c r="B39">
        <v>5810</v>
      </c>
      <c r="C39" s="15" t="s">
        <v>139</v>
      </c>
      <c r="D39" s="9">
        <v>28811152606102</v>
      </c>
      <c r="E39" s="5">
        <v>20000</v>
      </c>
      <c r="F39" s="5">
        <v>12</v>
      </c>
      <c r="G39" s="12" t="str">
        <f t="shared" si="1"/>
        <v>0000</v>
      </c>
      <c r="H39" s="3" t="s">
        <v>190</v>
      </c>
      <c r="I39" t="s">
        <v>195</v>
      </c>
      <c r="J39" s="11" t="s">
        <v>225</v>
      </c>
      <c r="K39" s="11" t="s">
        <v>225</v>
      </c>
      <c r="L39" s="10" t="s">
        <v>225</v>
      </c>
      <c r="M39" s="10" t="s">
        <v>225</v>
      </c>
      <c r="N39" t="s">
        <v>205</v>
      </c>
      <c r="O39" s="11" t="s">
        <v>75</v>
      </c>
      <c r="P39" s="11" t="s">
        <v>74</v>
      </c>
      <c r="Q39" s="10" t="s">
        <v>4</v>
      </c>
      <c r="R39" s="10" t="s">
        <v>5</v>
      </c>
    </row>
    <row r="40" spans="1:18" x14ac:dyDescent="0.3">
      <c r="A40" s="14">
        <v>15</v>
      </c>
      <c r="B40">
        <v>5854</v>
      </c>
      <c r="C40" t="s">
        <v>100</v>
      </c>
      <c r="D40" s="9">
        <v>30203252700954</v>
      </c>
      <c r="E40" s="5">
        <v>20000</v>
      </c>
      <c r="F40" s="5">
        <v>18</v>
      </c>
      <c r="G40" s="12" t="str">
        <f t="shared" si="1"/>
        <v>5078031317351485</v>
      </c>
      <c r="H40" s="3" t="s">
        <v>155</v>
      </c>
      <c r="I40" t="s">
        <v>199</v>
      </c>
      <c r="J40" s="11" t="s">
        <v>45</v>
      </c>
      <c r="K40" s="11" t="s">
        <v>44</v>
      </c>
      <c r="L40" s="10" t="s">
        <v>4</v>
      </c>
      <c r="M40" s="10" t="s">
        <v>5</v>
      </c>
      <c r="N40" t="s">
        <v>193</v>
      </c>
    </row>
    <row r="41" spans="1:18" x14ac:dyDescent="0.3">
      <c r="A41" s="14">
        <v>49</v>
      </c>
      <c r="B41">
        <v>5882</v>
      </c>
      <c r="C41" s="15" t="s">
        <v>138</v>
      </c>
      <c r="D41" s="9">
        <v>29102062701001</v>
      </c>
      <c r="E41" s="5">
        <v>10000</v>
      </c>
      <c r="F41" s="5">
        <v>12</v>
      </c>
      <c r="G41" s="12" t="str">
        <f t="shared" si="1"/>
        <v>5078032011474540</v>
      </c>
      <c r="H41" s="3" t="s">
        <v>189</v>
      </c>
      <c r="I41" t="s">
        <v>198</v>
      </c>
      <c r="J41" s="11" t="s">
        <v>297</v>
      </c>
      <c r="K41" s="11" t="s">
        <v>242</v>
      </c>
      <c r="L41" s="10" t="s">
        <v>206</v>
      </c>
      <c r="M41" s="10" t="s">
        <v>5</v>
      </c>
      <c r="N41" t="s">
        <v>205</v>
      </c>
      <c r="O41" s="11" t="s">
        <v>73</v>
      </c>
      <c r="P41" s="11" t="s">
        <v>72</v>
      </c>
      <c r="Q41" s="10" t="s">
        <v>4</v>
      </c>
      <c r="R41" s="10" t="s">
        <v>5</v>
      </c>
    </row>
    <row r="42" spans="1:18" x14ac:dyDescent="0.3">
      <c r="A42" s="14">
        <v>41</v>
      </c>
      <c r="B42">
        <v>5885</v>
      </c>
      <c r="C42" t="s">
        <v>119</v>
      </c>
      <c r="D42" s="9">
        <v>28910192700878</v>
      </c>
      <c r="E42" s="5">
        <v>20000</v>
      </c>
      <c r="F42" s="5">
        <v>12</v>
      </c>
      <c r="G42" s="12" t="str">
        <f t="shared" si="1"/>
        <v>5078031391784833</v>
      </c>
      <c r="H42" s="3" t="s">
        <v>172</v>
      </c>
      <c r="I42" t="s">
        <v>202</v>
      </c>
      <c r="J42" s="11" t="s">
        <v>71</v>
      </c>
      <c r="K42" s="11" t="s">
        <v>70</v>
      </c>
      <c r="L42" s="10" t="s">
        <v>4</v>
      </c>
      <c r="M42" s="10" t="s">
        <v>5</v>
      </c>
      <c r="N42" t="s">
        <v>194</v>
      </c>
    </row>
    <row r="43" spans="1:18" x14ac:dyDescent="0.3">
      <c r="A43" s="14">
        <v>16</v>
      </c>
      <c r="B43">
        <v>5893</v>
      </c>
      <c r="C43" t="s">
        <v>99</v>
      </c>
      <c r="D43" s="9">
        <v>26809042700349</v>
      </c>
      <c r="E43" s="5">
        <v>20000</v>
      </c>
      <c r="F43" s="5">
        <v>18</v>
      </c>
      <c r="G43" s="12" t="str">
        <f t="shared" si="1"/>
        <v>5078031395257380</v>
      </c>
      <c r="H43" s="3" t="s">
        <v>154</v>
      </c>
      <c r="I43" t="s">
        <v>196</v>
      </c>
      <c r="J43" s="11" t="s">
        <v>43</v>
      </c>
      <c r="K43" s="11" t="s">
        <v>42</v>
      </c>
      <c r="L43" s="10" t="s">
        <v>4</v>
      </c>
      <c r="M43" s="10" t="s">
        <v>5</v>
      </c>
      <c r="N43" t="s">
        <v>193</v>
      </c>
    </row>
    <row r="44" spans="1:18" x14ac:dyDescent="0.3">
      <c r="A44" s="14">
        <v>17</v>
      </c>
      <c r="B44">
        <v>5894</v>
      </c>
      <c r="C44" t="s">
        <v>98</v>
      </c>
      <c r="D44" s="9">
        <v>27210212700611</v>
      </c>
      <c r="E44" s="5">
        <v>20000</v>
      </c>
      <c r="F44" s="5">
        <v>18</v>
      </c>
      <c r="G44" s="12" t="str">
        <f t="shared" si="1"/>
        <v>5078031307879115</v>
      </c>
      <c r="H44" s="3" t="s">
        <v>153</v>
      </c>
      <c r="I44" t="s">
        <v>196</v>
      </c>
      <c r="J44" s="11" t="s">
        <v>41</v>
      </c>
      <c r="K44" s="11" t="s">
        <v>40</v>
      </c>
      <c r="L44" s="10" t="s">
        <v>4</v>
      </c>
      <c r="M44" s="10" t="s">
        <v>5</v>
      </c>
      <c r="N44" t="s">
        <v>193</v>
      </c>
    </row>
    <row r="45" spans="1:18" x14ac:dyDescent="0.3">
      <c r="A45" s="14">
        <v>50</v>
      </c>
      <c r="B45">
        <v>5895</v>
      </c>
      <c r="C45" s="15" t="s">
        <v>137</v>
      </c>
      <c r="D45" s="9">
        <v>30108022700545</v>
      </c>
      <c r="E45" s="5">
        <v>20000</v>
      </c>
      <c r="F45" s="5">
        <v>12</v>
      </c>
      <c r="G45" s="12" t="str">
        <f t="shared" si="1"/>
        <v>5078032010606001</v>
      </c>
      <c r="H45" s="3" t="s">
        <v>188</v>
      </c>
      <c r="I45" t="s">
        <v>202</v>
      </c>
      <c r="J45" s="11" t="s">
        <v>241</v>
      </c>
      <c r="K45" s="11" t="s">
        <v>240</v>
      </c>
      <c r="L45" s="10" t="s">
        <v>206</v>
      </c>
      <c r="M45" s="10" t="s">
        <v>5</v>
      </c>
      <c r="N45" t="s">
        <v>205</v>
      </c>
    </row>
    <row r="46" spans="1:18" x14ac:dyDescent="0.3">
      <c r="A46" s="14">
        <v>18</v>
      </c>
      <c r="B46">
        <v>5898</v>
      </c>
      <c r="C46" t="s">
        <v>97</v>
      </c>
      <c r="D46" s="9">
        <v>29311092700997</v>
      </c>
      <c r="E46" s="5">
        <v>20000</v>
      </c>
      <c r="F46" s="5">
        <v>18</v>
      </c>
      <c r="G46" s="12" t="str">
        <f t="shared" si="1"/>
        <v>5078031371824278</v>
      </c>
      <c r="H46" s="3" t="s">
        <v>152</v>
      </c>
      <c r="I46" t="s">
        <v>198</v>
      </c>
      <c r="J46" s="11" t="s">
        <v>39</v>
      </c>
      <c r="K46" s="11" t="s">
        <v>38</v>
      </c>
      <c r="L46" s="10" t="s">
        <v>4</v>
      </c>
      <c r="M46" s="10" t="s">
        <v>5</v>
      </c>
      <c r="N46" t="s">
        <v>193</v>
      </c>
    </row>
    <row r="47" spans="1:18" x14ac:dyDescent="0.3">
      <c r="A47" s="14">
        <v>42</v>
      </c>
      <c r="B47">
        <v>5899</v>
      </c>
      <c r="C47" t="s">
        <v>118</v>
      </c>
      <c r="D47" s="9">
        <v>27104172100785</v>
      </c>
      <c r="E47" s="5">
        <v>20000</v>
      </c>
      <c r="F47" s="5">
        <v>18</v>
      </c>
      <c r="G47" s="12" t="str">
        <f t="shared" si="1"/>
        <v>5078031326833481</v>
      </c>
      <c r="H47" s="3" t="s">
        <v>171</v>
      </c>
      <c r="I47" t="s">
        <v>196</v>
      </c>
      <c r="J47" s="11" t="s">
        <v>69</v>
      </c>
      <c r="K47" s="11" t="s">
        <v>16</v>
      </c>
      <c r="L47" s="10" t="s">
        <v>4</v>
      </c>
      <c r="M47" s="10" t="s">
        <v>5</v>
      </c>
      <c r="N47" t="s">
        <v>194</v>
      </c>
    </row>
    <row r="48" spans="1:18" x14ac:dyDescent="0.3">
      <c r="A48" s="14">
        <v>43</v>
      </c>
      <c r="B48">
        <v>5900</v>
      </c>
      <c r="C48" t="s">
        <v>117</v>
      </c>
      <c r="D48" s="9">
        <v>29702012700974</v>
      </c>
      <c r="E48" s="5">
        <v>20000</v>
      </c>
      <c r="F48" s="5">
        <v>10</v>
      </c>
      <c r="G48" s="12" t="str">
        <f t="shared" si="1"/>
        <v>5078031399638239</v>
      </c>
      <c r="H48" s="3" t="s">
        <v>170</v>
      </c>
      <c r="I48" t="s">
        <v>199</v>
      </c>
      <c r="J48" s="11" t="s">
        <v>68</v>
      </c>
      <c r="K48" s="11" t="s">
        <v>67</v>
      </c>
      <c r="L48" s="10" t="s">
        <v>4</v>
      </c>
      <c r="M48" s="10" t="s">
        <v>5</v>
      </c>
      <c r="N48" t="s">
        <v>194</v>
      </c>
    </row>
    <row r="49" spans="1:14" x14ac:dyDescent="0.3">
      <c r="A49" s="14">
        <v>19</v>
      </c>
      <c r="B49">
        <v>5901</v>
      </c>
      <c r="C49" t="s">
        <v>96</v>
      </c>
      <c r="D49" s="9">
        <v>28411212700741</v>
      </c>
      <c r="E49" s="5">
        <v>20000</v>
      </c>
      <c r="F49" s="5">
        <v>18</v>
      </c>
      <c r="G49" s="12" t="str">
        <f t="shared" si="1"/>
        <v>5078031354492929</v>
      </c>
      <c r="H49" s="3" t="s">
        <v>151</v>
      </c>
      <c r="I49" t="s">
        <v>199</v>
      </c>
      <c r="J49" s="11" t="s">
        <v>37</v>
      </c>
      <c r="K49" s="11" t="s">
        <v>36</v>
      </c>
      <c r="L49" s="10" t="s">
        <v>4</v>
      </c>
      <c r="M49" s="10" t="s">
        <v>5</v>
      </c>
      <c r="N49" t="s">
        <v>193</v>
      </c>
    </row>
    <row r="50" spans="1:14" x14ac:dyDescent="0.3">
      <c r="A50" s="14">
        <v>51</v>
      </c>
      <c r="B50">
        <v>5902</v>
      </c>
      <c r="C50" s="15" t="s">
        <v>136</v>
      </c>
      <c r="D50" s="9">
        <v>29804012703067</v>
      </c>
      <c r="E50" s="5">
        <v>20000</v>
      </c>
      <c r="F50" s="5">
        <v>18</v>
      </c>
      <c r="G50" s="12" t="str">
        <f t="shared" si="1"/>
        <v>5078032011474961</v>
      </c>
      <c r="H50" s="3" t="s">
        <v>171</v>
      </c>
      <c r="I50" t="s">
        <v>196</v>
      </c>
      <c r="J50" s="11" t="s">
        <v>243</v>
      </c>
      <c r="K50" s="11" t="s">
        <v>242</v>
      </c>
      <c r="L50" s="10" t="s">
        <v>206</v>
      </c>
      <c r="M50" s="10" t="s">
        <v>5</v>
      </c>
      <c r="N50" t="s">
        <v>205</v>
      </c>
    </row>
    <row r="51" spans="1:14" x14ac:dyDescent="0.3">
      <c r="A51" s="14">
        <v>44</v>
      </c>
      <c r="B51">
        <v>5903</v>
      </c>
      <c r="C51" t="s">
        <v>116</v>
      </c>
      <c r="D51" s="9">
        <v>27904022700535</v>
      </c>
      <c r="E51" s="5">
        <v>15000</v>
      </c>
      <c r="F51" s="5">
        <v>18</v>
      </c>
      <c r="G51" s="12" t="str">
        <f t="shared" si="1"/>
        <v>5078031306945883</v>
      </c>
      <c r="H51" s="3" t="s">
        <v>169</v>
      </c>
      <c r="I51" t="s">
        <v>201</v>
      </c>
      <c r="J51" s="11" t="s">
        <v>66</v>
      </c>
      <c r="K51" s="11" t="s">
        <v>65</v>
      </c>
      <c r="L51" s="10" t="s">
        <v>4</v>
      </c>
      <c r="M51" s="10" t="s">
        <v>5</v>
      </c>
      <c r="N51" t="s">
        <v>194</v>
      </c>
    </row>
    <row r="52" spans="1:14" x14ac:dyDescent="0.3">
      <c r="A52" s="14">
        <v>52</v>
      </c>
      <c r="B52">
        <v>5904</v>
      </c>
      <c r="C52" s="15" t="s">
        <v>135</v>
      </c>
      <c r="D52" s="9">
        <v>28107082700484</v>
      </c>
      <c r="E52" s="5">
        <v>10000</v>
      </c>
      <c r="F52" s="5">
        <v>18</v>
      </c>
      <c r="G52" s="12" t="str">
        <f t="shared" si="1"/>
        <v>5078032011474987</v>
      </c>
      <c r="H52" s="3" t="s">
        <v>187</v>
      </c>
      <c r="I52" t="s">
        <v>196</v>
      </c>
      <c r="J52" s="11" t="s">
        <v>284</v>
      </c>
      <c r="K52" s="11" t="s">
        <v>242</v>
      </c>
      <c r="L52" s="10" t="s">
        <v>206</v>
      </c>
      <c r="M52" s="10" t="s">
        <v>5</v>
      </c>
      <c r="N52" t="s">
        <v>205</v>
      </c>
    </row>
    <row r="53" spans="1:14" x14ac:dyDescent="0.3">
      <c r="A53" s="14">
        <v>20</v>
      </c>
      <c r="B53">
        <v>5906</v>
      </c>
      <c r="C53" t="s">
        <v>95</v>
      </c>
      <c r="D53" s="9">
        <v>29811222703198</v>
      </c>
      <c r="E53" s="5">
        <v>20000</v>
      </c>
      <c r="F53" s="5">
        <v>18</v>
      </c>
      <c r="G53" s="12" t="str">
        <f t="shared" si="1"/>
        <v>5078031396340573</v>
      </c>
      <c r="H53" s="3" t="s">
        <v>150</v>
      </c>
      <c r="I53" t="s">
        <v>202</v>
      </c>
      <c r="J53" s="11" t="s">
        <v>35</v>
      </c>
      <c r="K53" s="11" t="s">
        <v>34</v>
      </c>
      <c r="L53" s="10" t="s">
        <v>4</v>
      </c>
      <c r="M53" s="10" t="s">
        <v>5</v>
      </c>
      <c r="N53" t="s">
        <v>193</v>
      </c>
    </row>
    <row r="54" spans="1:14" x14ac:dyDescent="0.3">
      <c r="A54" s="14">
        <v>21</v>
      </c>
      <c r="B54">
        <v>5907</v>
      </c>
      <c r="C54" t="s">
        <v>94</v>
      </c>
      <c r="D54" s="9">
        <v>29609272700099</v>
      </c>
      <c r="E54" s="5">
        <v>20000</v>
      </c>
      <c r="F54" s="5">
        <v>18</v>
      </c>
      <c r="G54" s="12" t="str">
        <f t="shared" si="1"/>
        <v>5078031392154895</v>
      </c>
      <c r="H54" s="3" t="s">
        <v>149</v>
      </c>
      <c r="I54" t="s">
        <v>202</v>
      </c>
      <c r="J54" s="11" t="s">
        <v>33</v>
      </c>
      <c r="K54" s="11" t="s">
        <v>32</v>
      </c>
      <c r="L54" s="10" t="s">
        <v>4</v>
      </c>
      <c r="M54" s="10" t="s">
        <v>5</v>
      </c>
      <c r="N54" t="s">
        <v>193</v>
      </c>
    </row>
    <row r="55" spans="1:14" x14ac:dyDescent="0.3">
      <c r="A55" s="14">
        <v>22</v>
      </c>
      <c r="B55">
        <v>5908</v>
      </c>
      <c r="C55" t="s">
        <v>93</v>
      </c>
      <c r="D55" s="9">
        <v>27306082700301</v>
      </c>
      <c r="E55" s="5">
        <v>20000</v>
      </c>
      <c r="F55" s="5">
        <v>18</v>
      </c>
      <c r="G55" s="12" t="str">
        <f t="shared" si="1"/>
        <v>5078031345116082</v>
      </c>
      <c r="H55" s="3" t="s">
        <v>148</v>
      </c>
      <c r="I55" t="s">
        <v>197</v>
      </c>
      <c r="J55" s="11" t="s">
        <v>31</v>
      </c>
      <c r="K55" s="11" t="s">
        <v>30</v>
      </c>
      <c r="L55" s="10" t="s">
        <v>4</v>
      </c>
      <c r="M55" s="10" t="s">
        <v>5</v>
      </c>
      <c r="N55" t="s">
        <v>193</v>
      </c>
    </row>
    <row r="56" spans="1:14" x14ac:dyDescent="0.3">
      <c r="A56" s="14">
        <v>53</v>
      </c>
      <c r="B56">
        <v>5910</v>
      </c>
      <c r="C56" s="15" t="s">
        <v>134</v>
      </c>
      <c r="D56" s="9">
        <v>27911072700885</v>
      </c>
      <c r="E56" s="5">
        <v>20000</v>
      </c>
      <c r="F56" s="5">
        <v>18</v>
      </c>
      <c r="G56" s="12" t="str">
        <f t="shared" si="1"/>
        <v>5078032011474763</v>
      </c>
      <c r="H56" s="3" t="s">
        <v>186</v>
      </c>
      <c r="I56" t="s">
        <v>196</v>
      </c>
      <c r="J56" s="11" t="s">
        <v>245</v>
      </c>
      <c r="K56" s="11" t="s">
        <v>242</v>
      </c>
      <c r="L56" s="10" t="s">
        <v>206</v>
      </c>
      <c r="M56" s="10" t="s">
        <v>5</v>
      </c>
      <c r="N56" t="s">
        <v>205</v>
      </c>
    </row>
    <row r="57" spans="1:14" x14ac:dyDescent="0.3">
      <c r="A57" s="14">
        <v>23</v>
      </c>
      <c r="B57">
        <v>5927</v>
      </c>
      <c r="C57" t="s">
        <v>92</v>
      </c>
      <c r="D57" s="9">
        <v>26409152700672</v>
      </c>
      <c r="E57" s="5">
        <v>20000</v>
      </c>
      <c r="F57" s="5">
        <v>18</v>
      </c>
      <c r="G57" s="12" t="str">
        <f t="shared" si="1"/>
        <v>5078031329582234</v>
      </c>
      <c r="H57" s="3" t="s">
        <v>147</v>
      </c>
      <c r="I57" t="s">
        <v>201</v>
      </c>
      <c r="J57" s="11" t="s">
        <v>29</v>
      </c>
      <c r="K57" s="11" t="s">
        <v>28</v>
      </c>
      <c r="L57" s="10" t="s">
        <v>4</v>
      </c>
      <c r="M57" s="10" t="s">
        <v>5</v>
      </c>
      <c r="N57" t="s">
        <v>193</v>
      </c>
    </row>
    <row r="58" spans="1:14" x14ac:dyDescent="0.3">
      <c r="A58" s="14">
        <v>24</v>
      </c>
      <c r="B58">
        <v>5929</v>
      </c>
      <c r="C58" t="s">
        <v>91</v>
      </c>
      <c r="D58" s="9">
        <v>26904082700484</v>
      </c>
      <c r="E58" s="5">
        <v>20000</v>
      </c>
      <c r="F58" s="5">
        <v>18</v>
      </c>
      <c r="G58" s="12" t="str">
        <f t="shared" si="1"/>
        <v>5078031322527772</v>
      </c>
      <c r="H58" s="3" t="s">
        <v>146</v>
      </c>
      <c r="I58" t="s">
        <v>201</v>
      </c>
      <c r="J58" s="11" t="s">
        <v>27</v>
      </c>
      <c r="K58" s="11" t="s">
        <v>26</v>
      </c>
      <c r="L58" s="10" t="s">
        <v>4</v>
      </c>
      <c r="M58" s="10" t="s">
        <v>5</v>
      </c>
      <c r="N58" t="s">
        <v>193</v>
      </c>
    </row>
    <row r="59" spans="1:14" x14ac:dyDescent="0.3">
      <c r="A59" s="14">
        <v>25</v>
      </c>
      <c r="B59">
        <v>5932</v>
      </c>
      <c r="C59" t="s">
        <v>90</v>
      </c>
      <c r="D59" s="9">
        <v>29608082701874</v>
      </c>
      <c r="E59" s="5">
        <v>20000</v>
      </c>
      <c r="F59" s="5">
        <v>18</v>
      </c>
      <c r="G59" s="12" t="str">
        <f t="shared" si="1"/>
        <v>5078031317407394</v>
      </c>
      <c r="H59" s="3" t="s">
        <v>145</v>
      </c>
      <c r="I59" t="s">
        <v>199</v>
      </c>
      <c r="J59" s="11" t="s">
        <v>25</v>
      </c>
      <c r="K59" s="11" t="s">
        <v>24</v>
      </c>
      <c r="L59" s="10" t="s">
        <v>4</v>
      </c>
      <c r="M59" s="10" t="s">
        <v>5</v>
      </c>
      <c r="N59" t="s">
        <v>193</v>
      </c>
    </row>
    <row r="60" spans="1:14" x14ac:dyDescent="0.3">
      <c r="A60" s="14">
        <v>54</v>
      </c>
      <c r="B60">
        <v>5933</v>
      </c>
      <c r="C60" s="15" t="s">
        <v>133</v>
      </c>
      <c r="D60" s="9">
        <v>29809262701762</v>
      </c>
      <c r="E60" s="5">
        <v>20000</v>
      </c>
      <c r="F60" s="5">
        <v>18</v>
      </c>
      <c r="G60" s="12" t="str">
        <f t="shared" si="1"/>
        <v>5078032011474979</v>
      </c>
      <c r="H60" s="3" t="s">
        <v>185</v>
      </c>
      <c r="I60" t="s">
        <v>198</v>
      </c>
      <c r="J60" s="11" t="s">
        <v>285</v>
      </c>
      <c r="K60" s="11" t="s">
        <v>242</v>
      </c>
      <c r="L60" s="10" t="s">
        <v>206</v>
      </c>
      <c r="M60" s="10" t="s">
        <v>5</v>
      </c>
      <c r="N60" t="s">
        <v>205</v>
      </c>
    </row>
    <row r="61" spans="1:14" x14ac:dyDescent="0.3">
      <c r="A61" s="14">
        <v>26</v>
      </c>
      <c r="B61">
        <v>5934</v>
      </c>
      <c r="C61" t="s">
        <v>89</v>
      </c>
      <c r="D61" s="9">
        <v>28611242701873</v>
      </c>
      <c r="E61" s="5">
        <v>20000</v>
      </c>
      <c r="F61" s="5">
        <v>18</v>
      </c>
      <c r="G61" s="12" t="str">
        <f t="shared" si="1"/>
        <v>5078031348555443</v>
      </c>
      <c r="H61" s="3" t="s">
        <v>144</v>
      </c>
      <c r="I61" t="s">
        <v>199</v>
      </c>
      <c r="J61" s="11" t="s">
        <v>23</v>
      </c>
      <c r="K61" s="11" t="s">
        <v>22</v>
      </c>
      <c r="L61" s="10" t="s">
        <v>4</v>
      </c>
      <c r="M61" s="10" t="s">
        <v>5</v>
      </c>
      <c r="N61" t="s">
        <v>193</v>
      </c>
    </row>
    <row r="62" spans="1:14" x14ac:dyDescent="0.3">
      <c r="A62" s="14">
        <v>27</v>
      </c>
      <c r="B62">
        <v>5945</v>
      </c>
      <c r="C62" t="s">
        <v>88</v>
      </c>
      <c r="D62" s="9">
        <v>29204132701036</v>
      </c>
      <c r="E62" s="5">
        <v>20000</v>
      </c>
      <c r="F62" s="5">
        <v>12</v>
      </c>
      <c r="G62" s="12" t="str">
        <f t="shared" si="1"/>
        <v>5078031306269862</v>
      </c>
      <c r="H62" s="3" t="s">
        <v>143</v>
      </c>
      <c r="I62" t="s">
        <v>200</v>
      </c>
      <c r="J62" s="11" t="s">
        <v>21</v>
      </c>
      <c r="K62" s="11" t="s">
        <v>20</v>
      </c>
      <c r="L62" s="10" t="s">
        <v>4</v>
      </c>
      <c r="M62" s="10" t="s">
        <v>5</v>
      </c>
      <c r="N62" t="s">
        <v>193</v>
      </c>
    </row>
    <row r="63" spans="1:14" x14ac:dyDescent="0.3">
      <c r="A63" s="14">
        <v>28</v>
      </c>
      <c r="B63">
        <v>5946</v>
      </c>
      <c r="C63" t="s">
        <v>87</v>
      </c>
      <c r="D63" s="9">
        <v>29509172704939</v>
      </c>
      <c r="E63" s="5">
        <v>20000</v>
      </c>
      <c r="F63" s="5">
        <v>12</v>
      </c>
      <c r="G63" s="12" t="str">
        <f t="shared" si="1"/>
        <v>5078031377839502</v>
      </c>
      <c r="H63" s="3" t="s">
        <v>142</v>
      </c>
      <c r="I63" t="s">
        <v>200</v>
      </c>
      <c r="J63" s="11" t="s">
        <v>19</v>
      </c>
      <c r="K63" s="11" t="s">
        <v>18</v>
      </c>
      <c r="L63" s="10" t="s">
        <v>4</v>
      </c>
      <c r="M63" s="10" t="s">
        <v>5</v>
      </c>
      <c r="N63" t="s">
        <v>193</v>
      </c>
    </row>
    <row r="64" spans="1:14" x14ac:dyDescent="0.3">
      <c r="A64" s="14">
        <v>55</v>
      </c>
      <c r="B64">
        <v>5947</v>
      </c>
      <c r="C64" s="15" t="s">
        <v>132</v>
      </c>
      <c r="D64" s="9">
        <v>28604012702785</v>
      </c>
      <c r="E64" s="5">
        <v>15000</v>
      </c>
      <c r="F64" s="5">
        <v>18</v>
      </c>
      <c r="G64" s="12" t="str">
        <f t="shared" si="1"/>
        <v>5078032010605979</v>
      </c>
      <c r="H64" s="3" t="s">
        <v>184</v>
      </c>
      <c r="I64" t="s">
        <v>202</v>
      </c>
      <c r="J64" s="11" t="s">
        <v>244</v>
      </c>
      <c r="K64" s="11" t="s">
        <v>240</v>
      </c>
      <c r="L64" s="10" t="s">
        <v>206</v>
      </c>
      <c r="M64" s="10" t="s">
        <v>5</v>
      </c>
      <c r="N64" t="s">
        <v>205</v>
      </c>
    </row>
    <row r="65" spans="1:14" x14ac:dyDescent="0.3">
      <c r="A65" s="14">
        <v>45</v>
      </c>
      <c r="B65">
        <v>5948</v>
      </c>
      <c r="C65" t="s">
        <v>115</v>
      </c>
      <c r="D65" s="9">
        <v>26809112701194</v>
      </c>
      <c r="E65" s="5">
        <v>20000</v>
      </c>
      <c r="F65" s="5">
        <v>18</v>
      </c>
      <c r="G65" s="12" t="str">
        <f t="shared" si="1"/>
        <v>5078031331038910</v>
      </c>
      <c r="H65" s="3" t="s">
        <v>204</v>
      </c>
      <c r="I65" t="s">
        <v>202</v>
      </c>
      <c r="J65" s="11" t="s">
        <v>64</v>
      </c>
      <c r="K65" s="11" t="s">
        <v>63</v>
      </c>
      <c r="L65" s="10" t="s">
        <v>4</v>
      </c>
      <c r="M65" s="10" t="s">
        <v>5</v>
      </c>
      <c r="N65" t="s">
        <v>194</v>
      </c>
    </row>
    <row r="66" spans="1:14" x14ac:dyDescent="0.3">
      <c r="A66" s="14">
        <v>56</v>
      </c>
      <c r="B66">
        <v>5953</v>
      </c>
      <c r="C66" t="s">
        <v>256</v>
      </c>
      <c r="D66" s="9">
        <v>30201202704018</v>
      </c>
      <c r="E66" s="5">
        <v>20000</v>
      </c>
      <c r="F66" s="5">
        <v>18</v>
      </c>
      <c r="G66" s="12" t="str">
        <f t="shared" si="1"/>
        <v>5078031364721697</v>
      </c>
      <c r="H66" s="3" t="s">
        <v>267</v>
      </c>
      <c r="I66" t="s">
        <v>199</v>
      </c>
      <c r="J66" s="11" t="s">
        <v>279</v>
      </c>
      <c r="K66" s="11" t="s">
        <v>280</v>
      </c>
      <c r="L66" s="10" t="s">
        <v>4</v>
      </c>
      <c r="M66" s="10" t="s">
        <v>5</v>
      </c>
      <c r="N66" t="s">
        <v>283</v>
      </c>
    </row>
    <row r="67" spans="1:14" x14ac:dyDescent="0.3">
      <c r="A67" s="14">
        <v>57</v>
      </c>
      <c r="B67">
        <v>5954</v>
      </c>
      <c r="C67" t="s">
        <v>257</v>
      </c>
      <c r="D67" s="9">
        <v>28612162703804</v>
      </c>
      <c r="E67" s="5">
        <v>20000</v>
      </c>
      <c r="F67" s="5">
        <v>18</v>
      </c>
      <c r="G67" s="12" t="str">
        <f t="shared" si="1"/>
        <v>5078031371235731</v>
      </c>
      <c r="H67" s="3" t="s">
        <v>268</v>
      </c>
      <c r="I67" t="s">
        <v>199</v>
      </c>
      <c r="J67" s="11" t="s">
        <v>281</v>
      </c>
      <c r="K67" s="11" t="s">
        <v>282</v>
      </c>
      <c r="L67" s="10" t="s">
        <v>4</v>
      </c>
      <c r="M67" s="10" t="s">
        <v>5</v>
      </c>
      <c r="N67" t="s">
        <v>283</v>
      </c>
    </row>
    <row r="68" spans="1:14" x14ac:dyDescent="0.3">
      <c r="G68" s="12"/>
    </row>
    <row r="69" spans="1:14" x14ac:dyDescent="0.3">
      <c r="G69" s="12"/>
    </row>
    <row r="70" spans="1:14" x14ac:dyDescent="0.3">
      <c r="G70" s="12"/>
    </row>
    <row r="71" spans="1:14" x14ac:dyDescent="0.3">
      <c r="G71" s="12"/>
    </row>
    <row r="72" spans="1:14" x14ac:dyDescent="0.3">
      <c r="G72" s="12"/>
    </row>
    <row r="73" spans="1:14" x14ac:dyDescent="0.3">
      <c r="B73">
        <v>5948</v>
      </c>
      <c r="G73" s="12"/>
    </row>
    <row r="74" spans="1:14" x14ac:dyDescent="0.3">
      <c r="G74" s="12"/>
    </row>
    <row r="75" spans="1:14" x14ac:dyDescent="0.3">
      <c r="G75" s="12"/>
    </row>
    <row r="76" spans="1:14" x14ac:dyDescent="0.3">
      <c r="G76" s="12"/>
    </row>
    <row r="77" spans="1:14" x14ac:dyDescent="0.3">
      <c r="G77" s="12"/>
    </row>
    <row r="78" spans="1:14" x14ac:dyDescent="0.3">
      <c r="G78" s="12"/>
    </row>
    <row r="79" spans="1:14" x14ac:dyDescent="0.3">
      <c r="G79" s="12"/>
    </row>
    <row r="80" spans="1:14" x14ac:dyDescent="0.3">
      <c r="G80" s="12"/>
    </row>
    <row r="81" spans="7:7" x14ac:dyDescent="0.3">
      <c r="G81" s="12"/>
    </row>
    <row r="82" spans="7:7" x14ac:dyDescent="0.3">
      <c r="G82" s="12"/>
    </row>
    <row r="83" spans="7:7" x14ac:dyDescent="0.3">
      <c r="G83" s="12"/>
    </row>
    <row r="84" spans="7:7" x14ac:dyDescent="0.3">
      <c r="G84" s="12"/>
    </row>
    <row r="85" spans="7:7" x14ac:dyDescent="0.3">
      <c r="G85" s="12"/>
    </row>
    <row r="86" spans="7:7" x14ac:dyDescent="0.3">
      <c r="G86" s="12"/>
    </row>
    <row r="87" spans="7:7" x14ac:dyDescent="0.3">
      <c r="G87" s="12"/>
    </row>
    <row r="88" spans="7:7" x14ac:dyDescent="0.3">
      <c r="G88" s="12"/>
    </row>
    <row r="89" spans="7:7" x14ac:dyDescent="0.3">
      <c r="G89" s="12"/>
    </row>
    <row r="90" spans="7:7" x14ac:dyDescent="0.3">
      <c r="G90" s="12"/>
    </row>
    <row r="91" spans="7:7" x14ac:dyDescent="0.3">
      <c r="G91" s="12"/>
    </row>
    <row r="92" spans="7:7" x14ac:dyDescent="0.3">
      <c r="G92" s="12"/>
    </row>
    <row r="93" spans="7:7" x14ac:dyDescent="0.3">
      <c r="G93" s="12"/>
    </row>
    <row r="94" spans="7:7" x14ac:dyDescent="0.3">
      <c r="G94" s="12"/>
    </row>
    <row r="95" spans="7:7" x14ac:dyDescent="0.3">
      <c r="G95" s="12"/>
    </row>
    <row r="96" spans="7:7" x14ac:dyDescent="0.3">
      <c r="G96" s="12"/>
    </row>
    <row r="97" spans="7:7" x14ac:dyDescent="0.3">
      <c r="G97" s="12"/>
    </row>
    <row r="98" spans="7:7" x14ac:dyDescent="0.3">
      <c r="G98" s="12"/>
    </row>
    <row r="99" spans="7:7" x14ac:dyDescent="0.3">
      <c r="G99" s="12"/>
    </row>
    <row r="100" spans="7:7" x14ac:dyDescent="0.3">
      <c r="G100" s="12"/>
    </row>
    <row r="101" spans="7:7" x14ac:dyDescent="0.3">
      <c r="G101" s="12"/>
    </row>
    <row r="102" spans="7:7" x14ac:dyDescent="0.3">
      <c r="G102" s="12"/>
    </row>
    <row r="103" spans="7:7" x14ac:dyDescent="0.3">
      <c r="G103" s="12"/>
    </row>
    <row r="104" spans="7:7" x14ac:dyDescent="0.3">
      <c r="G104" s="12"/>
    </row>
    <row r="105" spans="7:7" x14ac:dyDescent="0.3">
      <c r="G105" s="12"/>
    </row>
    <row r="106" spans="7:7" x14ac:dyDescent="0.3">
      <c r="G106" s="12"/>
    </row>
    <row r="107" spans="7:7" x14ac:dyDescent="0.3">
      <c r="G107" s="12"/>
    </row>
    <row r="108" spans="7:7" x14ac:dyDescent="0.3">
      <c r="G108" s="12"/>
    </row>
    <row r="109" spans="7:7" x14ac:dyDescent="0.3">
      <c r="G109" s="12"/>
    </row>
    <row r="110" spans="7:7" x14ac:dyDescent="0.3">
      <c r="G110" s="12"/>
    </row>
    <row r="111" spans="7:7" x14ac:dyDescent="0.3">
      <c r="G111" s="12"/>
    </row>
    <row r="112" spans="7:7" x14ac:dyDescent="0.3">
      <c r="G112" s="12"/>
    </row>
    <row r="113" spans="7:7" x14ac:dyDescent="0.3">
      <c r="G113" s="12"/>
    </row>
    <row r="114" spans="7:7" x14ac:dyDescent="0.3">
      <c r="G114" s="12"/>
    </row>
    <row r="115" spans="7:7" x14ac:dyDescent="0.3">
      <c r="G115" s="12"/>
    </row>
    <row r="116" spans="7:7" x14ac:dyDescent="0.3">
      <c r="G116" s="12"/>
    </row>
    <row r="117" spans="7:7" x14ac:dyDescent="0.3">
      <c r="G117" s="12"/>
    </row>
    <row r="118" spans="7:7" x14ac:dyDescent="0.3">
      <c r="G118" s="12"/>
    </row>
    <row r="119" spans="7:7" x14ac:dyDescent="0.3">
      <c r="G119" s="12"/>
    </row>
    <row r="120" spans="7:7" x14ac:dyDescent="0.3">
      <c r="G120" s="12"/>
    </row>
    <row r="121" spans="7:7" x14ac:dyDescent="0.3">
      <c r="G121" s="12"/>
    </row>
    <row r="122" spans="7:7" x14ac:dyDescent="0.3">
      <c r="G122" s="12"/>
    </row>
    <row r="123" spans="7:7" x14ac:dyDescent="0.3">
      <c r="G123" s="12"/>
    </row>
    <row r="124" spans="7:7" x14ac:dyDescent="0.3">
      <c r="G124" s="12"/>
    </row>
    <row r="125" spans="7:7" x14ac:dyDescent="0.3">
      <c r="G125" s="12"/>
    </row>
    <row r="126" spans="7:7" x14ac:dyDescent="0.3">
      <c r="G126" s="12"/>
    </row>
    <row r="127" spans="7:7" x14ac:dyDescent="0.3">
      <c r="G127" s="12"/>
    </row>
    <row r="128" spans="7:7" x14ac:dyDescent="0.3">
      <c r="G128" s="12"/>
    </row>
    <row r="129" spans="7:7" x14ac:dyDescent="0.3">
      <c r="G129" s="12"/>
    </row>
    <row r="130" spans="7:7" x14ac:dyDescent="0.3">
      <c r="G130" s="12"/>
    </row>
    <row r="131" spans="7:7" x14ac:dyDescent="0.3">
      <c r="G131" s="12"/>
    </row>
    <row r="132" spans="7:7" x14ac:dyDescent="0.3">
      <c r="G132" s="12"/>
    </row>
    <row r="133" spans="7:7" x14ac:dyDescent="0.3">
      <c r="G133" s="12"/>
    </row>
    <row r="134" spans="7:7" x14ac:dyDescent="0.3">
      <c r="G134" s="12"/>
    </row>
    <row r="135" spans="7:7" x14ac:dyDescent="0.3">
      <c r="G135" s="12"/>
    </row>
    <row r="136" spans="7:7" x14ac:dyDescent="0.3">
      <c r="G136" s="12"/>
    </row>
    <row r="137" spans="7:7" x14ac:dyDescent="0.3">
      <c r="G137" s="12"/>
    </row>
    <row r="138" spans="7:7" x14ac:dyDescent="0.3">
      <c r="G138" s="12"/>
    </row>
    <row r="139" spans="7:7" x14ac:dyDescent="0.3">
      <c r="G139" s="12"/>
    </row>
    <row r="140" spans="7:7" x14ac:dyDescent="0.3">
      <c r="G140" s="12"/>
    </row>
    <row r="141" spans="7:7" x14ac:dyDescent="0.3">
      <c r="G141" s="12"/>
    </row>
    <row r="142" spans="7:7" x14ac:dyDescent="0.3">
      <c r="G142" s="12"/>
    </row>
    <row r="143" spans="7:7" x14ac:dyDescent="0.3">
      <c r="G143" s="12"/>
    </row>
    <row r="144" spans="7:7" x14ac:dyDescent="0.3">
      <c r="G144" s="12"/>
    </row>
    <row r="145" spans="7:7" x14ac:dyDescent="0.3">
      <c r="G145" s="12"/>
    </row>
    <row r="146" spans="7:7" x14ac:dyDescent="0.3">
      <c r="G146" s="12"/>
    </row>
    <row r="147" spans="7:7" x14ac:dyDescent="0.3">
      <c r="G147" s="12"/>
    </row>
    <row r="148" spans="7:7" x14ac:dyDescent="0.3">
      <c r="G148" s="12"/>
    </row>
    <row r="149" spans="7:7" x14ac:dyDescent="0.3">
      <c r="G149" s="12"/>
    </row>
    <row r="150" spans="7:7" x14ac:dyDescent="0.3">
      <c r="G150" s="12"/>
    </row>
    <row r="151" spans="7:7" x14ac:dyDescent="0.3">
      <c r="G151" s="12"/>
    </row>
    <row r="152" spans="7:7" x14ac:dyDescent="0.3">
      <c r="G152" s="12"/>
    </row>
    <row r="153" spans="7:7" x14ac:dyDescent="0.3">
      <c r="G153" s="12"/>
    </row>
    <row r="154" spans="7:7" x14ac:dyDescent="0.3">
      <c r="G154" s="12"/>
    </row>
    <row r="155" spans="7:7" x14ac:dyDescent="0.3">
      <c r="G155" s="12"/>
    </row>
    <row r="156" spans="7:7" x14ac:dyDescent="0.3">
      <c r="G156" s="12"/>
    </row>
    <row r="157" spans="7:7" x14ac:dyDescent="0.3">
      <c r="G157" s="12"/>
    </row>
    <row r="158" spans="7:7" x14ac:dyDescent="0.3">
      <c r="G158" s="12"/>
    </row>
    <row r="159" spans="7:7" x14ac:dyDescent="0.3">
      <c r="G159" s="12"/>
    </row>
    <row r="160" spans="7:7" x14ac:dyDescent="0.3">
      <c r="G160" s="12"/>
    </row>
  </sheetData>
  <autoFilter ref="A1:N1">
    <sortState ref="A2:N67">
      <sortCondition sortBy="cellColor" ref="B1" dxfId="13"/>
    </sortState>
  </autoFilter>
  <conditionalFormatting sqref="C1:C1048576">
    <cfRule type="duplicateValues" dxfId="12" priority="19"/>
  </conditionalFormatting>
  <conditionalFormatting sqref="B1:B1048576">
    <cfRule type="duplicateValues" dxfId="11" priority="18"/>
  </conditionalFormatting>
  <conditionalFormatting sqref="A2:N67">
    <cfRule type="expression" dxfId="10" priority="14">
      <formula>ROW()=CELL("row")</formula>
    </cfRule>
  </conditionalFormatting>
  <conditionalFormatting sqref="K1:K23 K25:K36 K38 P37 K40:K1048576 P39 P24">
    <cfRule type="duplicateValues" dxfId="9" priority="33"/>
  </conditionalFormatting>
  <conditionalFormatting sqref="J1:J23 J25:J36 J38 O37 J40:J1048576 O39 O24">
    <cfRule type="duplicateValues" dxfId="8" priority="41"/>
  </conditionalFormatting>
  <conditionalFormatting sqref="P35">
    <cfRule type="duplicateValues" dxfId="7" priority="7"/>
  </conditionalFormatting>
  <conditionalFormatting sqref="O35">
    <cfRule type="duplicateValues" dxfId="6" priority="8"/>
  </conditionalFormatting>
  <conditionalFormatting sqref="P41">
    <cfRule type="duplicateValues" dxfId="5" priority="5"/>
  </conditionalFormatting>
  <conditionalFormatting sqref="O41">
    <cfRule type="duplicateValues" dxfId="4" priority="6"/>
  </conditionalFormatting>
  <conditionalFormatting sqref="P36">
    <cfRule type="duplicateValues" dxfId="3" priority="3"/>
  </conditionalFormatting>
  <conditionalFormatting sqref="O36">
    <cfRule type="duplicateValues" dxfId="2" priority="4"/>
  </conditionalFormatting>
  <conditionalFormatting sqref="P25">
    <cfRule type="duplicateValues" dxfId="1" priority="1"/>
  </conditionalFormatting>
  <conditionalFormatting sqref="O25">
    <cfRule type="duplicateValues" dxfId="0" priority="2"/>
  </conditionalFormatting>
  <pageMargins left="0" right="0" top="0" bottom="0" header="0" footer="0"/>
  <pageSetup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2024-06-09T12:41:54Z</cp:lastPrinted>
  <dcterms:created xsi:type="dcterms:W3CDTF">2015-06-05T18:17:20Z</dcterms:created>
  <dcterms:modified xsi:type="dcterms:W3CDTF">2024-06-23T12:24:00Z</dcterms:modified>
</cp:coreProperties>
</file>