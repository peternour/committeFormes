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300" windowWidth="12120" windowHeight="8940" tabRatio="697" activeTab="6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DATA!$B$3:$D$22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<sst xmlns="http://schemas.openxmlformats.org/spreadsheetml/2006/main" count="419" uniqueCount="109">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</sst>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2" totalsRowShown="0" headerRowDxfId="4" dataDxfId="3">
  <autoFilter ref="B2:D22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style="83" customWidth="1"/>
    <col min="2" max="2" width="12.5546875" style="83" customWidth="1"/>
    <col min="3" max="3" width="8.88671875" style="83" customWidth="1"/>
    <col min="4" max="4" width="10.33203125" style="83" customWidth="1"/>
    <col min="5" max="5" width="16.5546875" style="83" bestFit="1" customWidth="1"/>
    <col min="6" max="6" width="8.88671875" style="83"/>
    <col min="7" max="7" width="5.33203125" style="83" customWidth="1"/>
    <col min="8" max="8" width="5.77734375" style="83" customWidth="1"/>
    <col min="9" max="9" width="15.109375" style="83" customWidth="1"/>
    <col min="10" max="10" width="10.88671875" style="83" customWidth="1"/>
    <col min="11" max="11" width="20.88671875" style="83" customWidth="1"/>
    <col min="12" max="12" width="8.88671875" style="83" customWidth="1"/>
    <col min="13" max="13" width="9.6640625" style="83" customWidth="1"/>
    <col min="14" max="16384" width="8.88671875" style="83"/>
  </cols>
  <sheetData>
    <row r="1" spans="1:12" x14ac:dyDescent="0.25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2" spans="1:12" x14ac:dyDescent="0.25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86"/>
    </row>
    <row r="3" spans="1:12" x14ac:dyDescent="0.2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2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x14ac:dyDescent="0.25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</row>
    <row r="6" spans="1:12" x14ac:dyDescent="0.25">
      <c r="A6" s="84"/>
      <c r="B6" s="85"/>
      <c r="C6" s="85"/>
      <c r="D6" s="85"/>
      <c r="E6" s="85"/>
      <c r="F6" s="85"/>
      <c r="G6" s="85"/>
      <c r="H6" s="85"/>
      <c r="I6" s="85"/>
      <c r="J6" s="85"/>
      <c r="K6" s="85"/>
      <c r="L6" s="86"/>
    </row>
    <row r="7" spans="1:12" ht="25.5" customHeight="1" x14ac:dyDescent="0.25">
      <c r="A7" s="84"/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</row>
    <row r="8" spans="1:12" ht="56.25" customHeight="1" x14ac:dyDescent="0.4">
      <c r="A8" s="84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5"/>
      <c r="L8" s="86"/>
    </row>
    <row r="9" spans="1:12" ht="16.5" customHeight="1" x14ac:dyDescent="0.25">
      <c r="A9" s="84"/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</row>
    <row r="10" spans="1:12" s="92" customFormat="1" ht="22.8" x14ac:dyDescent="0.4">
      <c r="A10" s="87"/>
      <c r="B10" s="88" t="s">
        <v>0</v>
      </c>
      <c r="C10" s="89">
        <f>E10</f>
        <v>0</v>
      </c>
      <c r="D10" s="88" t="s">
        <v>1</v>
      </c>
      <c r="E10" s="68"/>
      <c r="F10" s="88" t="s">
        <v>25</v>
      </c>
      <c r="G10" s="88"/>
      <c r="H10" s="88"/>
      <c r="I10" s="88"/>
      <c r="J10" s="88"/>
      <c r="K10" s="90"/>
      <c r="L10" s="91"/>
    </row>
    <row r="11" spans="1:12" s="92" customFormat="1" ht="28.2" customHeight="1" x14ac:dyDescent="0.4">
      <c r="A11" s="69"/>
      <c r="B11" s="93" t="str">
        <f>IFERROR(VLOOKUP(A11,Table1[#All],2,0),"")</f>
        <v/>
      </c>
      <c r="C11" s="93"/>
      <c r="D11" s="93"/>
      <c r="E11" s="94"/>
      <c r="F11" s="147" t="str">
        <f>IFERROR(VLOOKUP(A11,Table1[#All],3,0),"")</f>
        <v/>
      </c>
      <c r="G11" s="147"/>
      <c r="H11" s="147"/>
      <c r="I11" s="147"/>
      <c r="J11" s="147"/>
      <c r="K11" s="95" t="s">
        <v>32</v>
      </c>
      <c r="L11" s="96"/>
    </row>
    <row r="12" spans="1:12" s="92" customFormat="1" ht="28.2" customHeight="1" x14ac:dyDescent="0.4">
      <c r="A12" s="69"/>
      <c r="B12" s="93" t="str">
        <f>IFERROR(VLOOKUP(A12,Table1[#All],2,0),"")</f>
        <v/>
      </c>
      <c r="C12" s="93"/>
      <c r="D12" s="93"/>
      <c r="E12" s="94"/>
      <c r="F12" s="147" t="str">
        <f>IFERROR(VLOOKUP(A12,Table1[#All],3,0),"")</f>
        <v/>
      </c>
      <c r="G12" s="147"/>
      <c r="H12" s="147"/>
      <c r="I12" s="147"/>
      <c r="J12" s="147"/>
      <c r="K12" s="95" t="s">
        <v>32</v>
      </c>
      <c r="L12" s="96"/>
    </row>
    <row r="13" spans="1:12" s="92" customFormat="1" ht="28.2" customHeight="1" x14ac:dyDescent="0.4">
      <c r="A13" s="69"/>
      <c r="B13" s="93" t="str">
        <f>IFERROR(VLOOKUP(A13,Table1[#All],2,0),"")</f>
        <v/>
      </c>
      <c r="C13" s="93"/>
      <c r="D13" s="93"/>
      <c r="E13" s="94"/>
      <c r="F13" s="147" t="str">
        <f>IFERROR(VLOOKUP(A13,Table1[#All],3,0),"")</f>
        <v/>
      </c>
      <c r="G13" s="147"/>
      <c r="H13" s="147"/>
      <c r="I13" s="147"/>
      <c r="J13" s="147"/>
      <c r="K13" s="95" t="s">
        <v>32</v>
      </c>
      <c r="L13" s="96"/>
    </row>
    <row r="14" spans="1:12" s="92" customFormat="1" ht="28.2" customHeight="1" x14ac:dyDescent="0.4">
      <c r="A14" s="69"/>
      <c r="B14" s="93" t="str">
        <f>IFERROR(VLOOKUP(A14,Table1[#All],2,0),"")</f>
        <v/>
      </c>
      <c r="C14" s="93"/>
      <c r="D14" s="93"/>
      <c r="E14" s="94"/>
      <c r="F14" s="147" t="str">
        <f>IFERROR(VLOOKUP(A14,Table1[#All],3,0),"")</f>
        <v/>
      </c>
      <c r="G14" s="147"/>
      <c r="H14" s="147"/>
      <c r="I14" s="147"/>
      <c r="J14" s="147"/>
      <c r="K14" s="95" t="s">
        <v>32</v>
      </c>
      <c r="L14" s="96"/>
    </row>
    <row r="15" spans="1:12" s="92" customFormat="1" ht="28.2" customHeight="1" x14ac:dyDescent="0.4">
      <c r="A15" s="69"/>
      <c r="B15" s="93" t="str">
        <f>IFERROR(VLOOKUP(A15,Table1[#All],2,0),"")</f>
        <v/>
      </c>
      <c r="C15" s="93"/>
      <c r="D15" s="93"/>
      <c r="E15" s="94"/>
      <c r="F15" s="147" t="str">
        <f>IFERROR(VLOOKUP(A15,Table1[#All],3,0),"")</f>
        <v/>
      </c>
      <c r="G15" s="147"/>
      <c r="H15" s="147"/>
      <c r="I15" s="147"/>
      <c r="J15" s="147"/>
      <c r="K15" s="95" t="s">
        <v>32</v>
      </c>
      <c r="L15" s="96"/>
    </row>
    <row r="16" spans="1:12" s="92" customFormat="1" ht="28.2" customHeight="1" x14ac:dyDescent="0.4">
      <c r="A16" s="69"/>
      <c r="B16" s="93" t="str">
        <f>IFERROR(VLOOKUP(A16,Table1[#All],2,0),"")</f>
        <v/>
      </c>
      <c r="C16" s="93"/>
      <c r="D16" s="93"/>
      <c r="E16" s="94"/>
      <c r="F16" s="147" t="str">
        <f>IFERROR(VLOOKUP(A16,Table1[#All],3,0),"")</f>
        <v/>
      </c>
      <c r="G16" s="147"/>
      <c r="H16" s="147"/>
      <c r="I16" s="147"/>
      <c r="J16" s="147"/>
      <c r="K16" s="95" t="s">
        <v>32</v>
      </c>
      <c r="L16" s="96"/>
    </row>
    <row r="17" spans="1:13" s="92" customFormat="1" ht="28.2" customHeight="1" x14ac:dyDescent="0.4">
      <c r="A17" s="69"/>
      <c r="B17" s="93" t="str">
        <f>IFERROR(VLOOKUP(A17,Table1[#All],2,0),"")</f>
        <v/>
      </c>
      <c r="C17" s="93"/>
      <c r="D17" s="93"/>
      <c r="E17" s="94"/>
      <c r="F17" s="147" t="str">
        <f>IFERROR(VLOOKUP(A17,Table1[#All],3,0),"")</f>
        <v/>
      </c>
      <c r="G17" s="147"/>
      <c r="H17" s="147"/>
      <c r="I17" s="147"/>
      <c r="J17" s="147"/>
      <c r="K17" s="95" t="s">
        <v>32</v>
      </c>
      <c r="L17" s="96"/>
    </row>
    <row r="18" spans="1:13" s="92" customFormat="1" ht="28.2" customHeight="1" x14ac:dyDescent="0.4">
      <c r="A18" s="69"/>
      <c r="B18" s="93" t="str">
        <f>IFERROR(VLOOKUP(A18,Table1[#All],2,0),"")</f>
        <v/>
      </c>
      <c r="C18" s="93"/>
      <c r="D18" s="93"/>
      <c r="E18" s="94"/>
      <c r="F18" s="147" t="str">
        <f>IFERROR(VLOOKUP(A18,Table1[#All],3,0),"")</f>
        <v/>
      </c>
      <c r="G18" s="147"/>
      <c r="H18" s="147"/>
      <c r="I18" s="147"/>
      <c r="J18" s="147"/>
      <c r="K18" s="95" t="s">
        <v>32</v>
      </c>
      <c r="L18" s="96"/>
    </row>
    <row r="19" spans="1:13" s="92" customFormat="1" ht="28.2" customHeight="1" x14ac:dyDescent="0.4">
      <c r="A19" s="69"/>
      <c r="B19" s="93" t="str">
        <f>IFERROR(VLOOKUP(A19,Table1[#All],2,0),"")</f>
        <v/>
      </c>
      <c r="C19" s="93"/>
      <c r="D19" s="93"/>
      <c r="E19" s="94"/>
      <c r="F19" s="147" t="str">
        <f>IFERROR(VLOOKUP(A19,Table1[#All],3,0),"")</f>
        <v/>
      </c>
      <c r="G19" s="147"/>
      <c r="H19" s="147"/>
      <c r="I19" s="147"/>
      <c r="J19" s="147"/>
      <c r="K19" s="95" t="s">
        <v>32</v>
      </c>
      <c r="L19" s="96"/>
    </row>
    <row r="20" spans="1:13" ht="28.2" customHeight="1" x14ac:dyDescent="0.4">
      <c r="A20" s="70"/>
      <c r="B20" s="93" t="str">
        <f>IFERROR(VLOOKUP(A20,Table1[#All],2,0),"")</f>
        <v/>
      </c>
      <c r="C20" s="85"/>
      <c r="D20" s="85"/>
      <c r="E20" s="85"/>
      <c r="F20" s="147" t="str">
        <f>IFERROR(VLOOKUP(A20,Table1[#All],3,0),"")</f>
        <v/>
      </c>
      <c r="G20" s="147"/>
      <c r="H20" s="147"/>
      <c r="I20" s="147"/>
      <c r="J20" s="147"/>
      <c r="K20" s="95" t="s">
        <v>32</v>
      </c>
      <c r="L20" s="98"/>
    </row>
    <row r="21" spans="1:13" ht="24" customHeight="1" x14ac:dyDescent="0.4">
      <c r="A21" s="84"/>
      <c r="B21" s="99" t="s">
        <v>46</v>
      </c>
      <c r="C21" s="99"/>
      <c r="D21" s="99"/>
      <c r="E21" s="99"/>
      <c r="F21" s="99"/>
      <c r="G21" s="99"/>
      <c r="H21" s="99"/>
      <c r="I21" s="99" t="s">
        <v>47</v>
      </c>
      <c r="J21" s="100" t="s">
        <v>27</v>
      </c>
      <c r="K21" s="99"/>
      <c r="L21" s="101"/>
      <c r="M21" s="102"/>
    </row>
    <row r="22" spans="1:13" ht="29.25" customHeight="1" x14ac:dyDescent="0.4">
      <c r="A22" s="84"/>
      <c r="B22" s="100" t="s">
        <v>70</v>
      </c>
      <c r="C22" s="99"/>
      <c r="D22" s="99"/>
      <c r="E22" s="99"/>
      <c r="F22" s="71"/>
      <c r="G22" s="103" t="s">
        <v>2</v>
      </c>
      <c r="H22" s="104"/>
      <c r="I22" s="72"/>
      <c r="J22" s="148" t="str">
        <f>NoToTxt(I22,"جنيها","قرش")&amp;" لاغير"</f>
        <v>صفر لاغير</v>
      </c>
      <c r="K22" s="148"/>
      <c r="L22" s="149"/>
      <c r="M22" s="102"/>
    </row>
    <row r="23" spans="1:13" ht="29.25" customHeight="1" x14ac:dyDescent="0.4">
      <c r="A23" s="84"/>
      <c r="B23" s="99" t="s">
        <v>13</v>
      </c>
      <c r="C23" s="99"/>
      <c r="D23" s="99"/>
      <c r="E23" s="99"/>
      <c r="F23" s="99"/>
      <c r="G23" s="99"/>
      <c r="H23" s="99"/>
      <c r="I23" s="99"/>
      <c r="J23" s="99"/>
      <c r="K23" s="99"/>
      <c r="L23" s="101"/>
      <c r="M23" s="102"/>
    </row>
    <row r="24" spans="1:13" ht="29.25" customHeight="1" thickBot="1" x14ac:dyDescent="0.45">
      <c r="A24" s="84"/>
      <c r="B24" s="99" t="s">
        <v>26</v>
      </c>
      <c r="C24" s="99"/>
      <c r="D24" s="99"/>
      <c r="E24" s="99"/>
      <c r="F24" s="99"/>
      <c r="G24" s="99"/>
      <c r="H24" s="99"/>
      <c r="I24" s="99"/>
      <c r="J24" s="99"/>
      <c r="K24" s="99"/>
      <c r="L24" s="101"/>
      <c r="M24" s="102"/>
    </row>
    <row r="25" spans="1:13" ht="22.8" x14ac:dyDescent="0.4">
      <c r="A25" s="84"/>
      <c r="B25" s="105"/>
      <c r="C25" s="106" t="s">
        <v>3</v>
      </c>
      <c r="D25" s="143" t="s">
        <v>6</v>
      </c>
      <c r="E25" s="143"/>
      <c r="F25" s="143"/>
      <c r="G25" s="143"/>
      <c r="H25" s="143"/>
      <c r="I25" s="143"/>
      <c r="J25" s="107" t="s">
        <v>5</v>
      </c>
      <c r="K25" s="108" t="s">
        <v>4</v>
      </c>
      <c r="L25" s="109"/>
      <c r="M25" s="102"/>
    </row>
    <row r="26" spans="1:13" ht="28.95" customHeight="1" x14ac:dyDescent="0.4">
      <c r="A26" s="84"/>
      <c r="B26" s="105"/>
      <c r="C26" s="110">
        <v>1</v>
      </c>
      <c r="D26" s="144" t="s">
        <v>51</v>
      </c>
      <c r="E26" s="144"/>
      <c r="F26" s="144"/>
      <c r="G26" s="144"/>
      <c r="H26" s="144"/>
      <c r="I26" s="144"/>
      <c r="J26" s="75"/>
      <c r="K26" s="77"/>
      <c r="L26" s="101"/>
      <c r="M26" s="102"/>
    </row>
    <row r="27" spans="1:13" ht="28.95" customHeight="1" x14ac:dyDescent="0.4">
      <c r="A27" s="84"/>
      <c r="B27" s="105"/>
      <c r="C27" s="110">
        <v>2</v>
      </c>
      <c r="D27" s="144" t="s">
        <v>52</v>
      </c>
      <c r="E27" s="144"/>
      <c r="F27" s="144"/>
      <c r="G27" s="144"/>
      <c r="H27" s="144"/>
      <c r="I27" s="144"/>
      <c r="J27" s="75"/>
      <c r="K27" s="77"/>
      <c r="L27" s="101"/>
      <c r="M27" s="102"/>
    </row>
    <row r="28" spans="1:13" ht="30.75" hidden="1" customHeight="1" x14ac:dyDescent="0.4">
      <c r="A28" s="84"/>
      <c r="B28" s="105"/>
      <c r="C28" s="110"/>
      <c r="D28" s="145"/>
      <c r="E28" s="146"/>
      <c r="F28" s="146"/>
      <c r="G28" s="146"/>
      <c r="H28" s="146"/>
      <c r="I28" s="146"/>
      <c r="J28" s="75"/>
      <c r="K28" s="76"/>
      <c r="L28" s="101"/>
      <c r="M28" s="102"/>
    </row>
    <row r="29" spans="1:13" ht="30.75" hidden="1" customHeight="1" x14ac:dyDescent="0.4">
      <c r="A29" s="84"/>
      <c r="B29" s="105"/>
      <c r="C29" s="110"/>
      <c r="D29" s="145"/>
      <c r="E29" s="146"/>
      <c r="F29" s="146"/>
      <c r="G29" s="146"/>
      <c r="H29" s="146"/>
      <c r="I29" s="146"/>
      <c r="J29" s="75"/>
      <c r="K29" s="76"/>
      <c r="L29" s="101"/>
      <c r="M29" s="102"/>
    </row>
    <row r="30" spans="1:13" ht="30.75" customHeight="1" thickBot="1" x14ac:dyDescent="0.45">
      <c r="A30" s="84"/>
      <c r="B30" s="105"/>
      <c r="C30" s="151" t="s">
        <v>9</v>
      </c>
      <c r="D30" s="152"/>
      <c r="E30" s="152"/>
      <c r="F30" s="152"/>
      <c r="G30" s="152"/>
      <c r="H30" s="152"/>
      <c r="I30" s="152"/>
      <c r="J30" s="111">
        <f>SUM(J26:J27)</f>
        <v>0</v>
      </c>
      <c r="K30" s="111">
        <f>SUM(K26:K27)</f>
        <v>0</v>
      </c>
      <c r="L30" s="101"/>
      <c r="M30" s="102"/>
    </row>
    <row r="31" spans="1:13" ht="29.25" customHeight="1" thickBot="1" x14ac:dyDescent="0.45">
      <c r="A31" s="84"/>
      <c r="B31" s="99" t="s">
        <v>10</v>
      </c>
      <c r="C31" s="99"/>
      <c r="D31" s="99"/>
      <c r="E31" s="99"/>
      <c r="F31" s="99"/>
      <c r="G31" s="99"/>
      <c r="H31" s="99"/>
      <c r="I31" s="99"/>
      <c r="J31" s="99"/>
      <c r="K31" s="99"/>
      <c r="L31" s="101"/>
      <c r="M31" s="102"/>
    </row>
    <row r="32" spans="1:13" ht="22.8" x14ac:dyDescent="0.4">
      <c r="A32" s="84"/>
      <c r="B32" s="105"/>
      <c r="C32" s="106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8" t="s">
        <v>20</v>
      </c>
      <c r="L32" s="109"/>
      <c r="M32" s="102"/>
    </row>
    <row r="33" spans="1:13" ht="30.75" customHeight="1" x14ac:dyDescent="0.4">
      <c r="A33" s="84"/>
      <c r="B33" s="105"/>
      <c r="C33" s="110">
        <v>1</v>
      </c>
      <c r="D33" s="150" t="s">
        <v>17</v>
      </c>
      <c r="E33" s="150"/>
      <c r="F33" s="150"/>
      <c r="G33" s="150"/>
      <c r="H33" s="150"/>
      <c r="I33" s="150"/>
      <c r="J33" s="150"/>
      <c r="K33" s="77"/>
      <c r="L33" s="101"/>
      <c r="M33" s="102"/>
    </row>
    <row r="34" spans="1:13" ht="30.75" customHeight="1" x14ac:dyDescent="0.4">
      <c r="A34" s="84"/>
      <c r="B34" s="105"/>
      <c r="C34" s="110">
        <v>2</v>
      </c>
      <c r="D34" s="112" t="s">
        <v>18</v>
      </c>
      <c r="E34" s="113"/>
      <c r="F34" s="113"/>
      <c r="G34" s="113"/>
      <c r="H34" s="113"/>
      <c r="I34" s="113"/>
      <c r="J34" s="114"/>
      <c r="K34" s="78"/>
      <c r="L34" s="101"/>
      <c r="M34" s="102"/>
    </row>
    <row r="35" spans="1:13" ht="30.75" customHeight="1" x14ac:dyDescent="0.4">
      <c r="A35" s="84"/>
      <c r="B35" s="105"/>
      <c r="C35" s="110">
        <v>3</v>
      </c>
      <c r="D35" s="150" t="s">
        <v>19</v>
      </c>
      <c r="E35" s="150"/>
      <c r="F35" s="150"/>
      <c r="G35" s="153"/>
      <c r="H35" s="150"/>
      <c r="I35" s="150"/>
      <c r="J35" s="150"/>
      <c r="K35" s="77"/>
      <c r="L35" s="101"/>
      <c r="M35" s="102"/>
    </row>
    <row r="36" spans="1:13" ht="30.75" customHeight="1" x14ac:dyDescent="0.4">
      <c r="A36" s="84"/>
      <c r="B36" s="105"/>
      <c r="C36" s="115">
        <v>4</v>
      </c>
      <c r="D36" s="154" t="s">
        <v>48</v>
      </c>
      <c r="E36" s="155"/>
      <c r="F36" s="155"/>
      <c r="G36" s="155"/>
      <c r="H36" s="155"/>
      <c r="I36" s="155"/>
      <c r="J36" s="156"/>
      <c r="K36" s="78"/>
      <c r="L36" s="101"/>
      <c r="M36" s="102"/>
    </row>
    <row r="37" spans="1:13" ht="30" customHeight="1" x14ac:dyDescent="0.4">
      <c r="A37" s="84"/>
      <c r="B37" s="105"/>
      <c r="C37" s="110">
        <v>5</v>
      </c>
      <c r="D37" s="150" t="s">
        <v>11</v>
      </c>
      <c r="E37" s="150"/>
      <c r="F37" s="150"/>
      <c r="G37" s="150"/>
      <c r="H37" s="150"/>
      <c r="I37" s="150"/>
      <c r="J37" s="150"/>
      <c r="K37" s="77"/>
      <c r="L37" s="101"/>
      <c r="M37" s="102"/>
    </row>
    <row r="38" spans="1:13" ht="30" customHeight="1" x14ac:dyDescent="0.4">
      <c r="A38" s="84"/>
      <c r="B38" s="105"/>
      <c r="C38" s="115">
        <v>6</v>
      </c>
      <c r="D38" s="154" t="s">
        <v>49</v>
      </c>
      <c r="E38" s="155"/>
      <c r="F38" s="155"/>
      <c r="G38" s="155"/>
      <c r="H38" s="155"/>
      <c r="I38" s="155"/>
      <c r="J38" s="156"/>
      <c r="K38" s="79"/>
      <c r="L38" s="101"/>
      <c r="M38" s="102"/>
    </row>
    <row r="39" spans="1:13" ht="30" customHeight="1" x14ac:dyDescent="0.4">
      <c r="A39" s="84"/>
      <c r="B39" s="105"/>
      <c r="C39" s="115">
        <v>7</v>
      </c>
      <c r="D39" s="154" t="s">
        <v>21</v>
      </c>
      <c r="E39" s="155"/>
      <c r="F39" s="155"/>
      <c r="G39" s="155"/>
      <c r="H39" s="155"/>
      <c r="I39" s="155"/>
      <c r="J39" s="156"/>
      <c r="K39" s="79"/>
      <c r="L39" s="101"/>
      <c r="M39" s="102"/>
    </row>
    <row r="40" spans="1:13" ht="30.75" customHeight="1" thickBot="1" x14ac:dyDescent="0.45">
      <c r="A40" s="84"/>
      <c r="B40" s="105"/>
      <c r="C40" s="151" t="s">
        <v>12</v>
      </c>
      <c r="D40" s="152"/>
      <c r="E40" s="152"/>
      <c r="F40" s="152"/>
      <c r="G40" s="152"/>
      <c r="H40" s="152"/>
      <c r="I40" s="152"/>
      <c r="J40" s="152"/>
      <c r="K40" s="116">
        <f>SUM(K33:K38)-K39</f>
        <v>0</v>
      </c>
      <c r="L40" s="101"/>
      <c r="M40" s="102"/>
    </row>
    <row r="41" spans="1:13" ht="59.25" customHeight="1" x14ac:dyDescent="0.4">
      <c r="A41" s="84"/>
      <c r="B41" s="117"/>
      <c r="C41" s="117"/>
      <c r="D41" s="117"/>
      <c r="E41" s="117"/>
      <c r="F41" s="117"/>
      <c r="G41" s="117"/>
      <c r="H41" s="117"/>
      <c r="I41" s="117"/>
      <c r="J41" s="117"/>
      <c r="K41" s="118"/>
      <c r="L41" s="119"/>
    </row>
    <row r="42" spans="1:13" ht="40.5" customHeight="1" thickBot="1" x14ac:dyDescent="0.45">
      <c r="A42" s="120"/>
      <c r="B42" s="121"/>
      <c r="C42" s="157" t="s">
        <v>30</v>
      </c>
      <c r="D42" s="157"/>
      <c r="E42" s="157"/>
      <c r="F42" s="157"/>
      <c r="G42" s="157"/>
      <c r="H42" s="157"/>
      <c r="I42" s="157"/>
      <c r="J42" s="157"/>
      <c r="K42" s="121"/>
      <c r="L42" s="122"/>
    </row>
    <row r="43" spans="1:13" ht="12" customHeight="1" x14ac:dyDescent="0.4">
      <c r="A43" s="80"/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4"/>
    </row>
    <row r="44" spans="1:13" ht="22.8" x14ac:dyDescent="0.4">
      <c r="A44" s="8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1"/>
    </row>
    <row r="45" spans="1:13" x14ac:dyDescent="0.25">
      <c r="A45" s="84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</row>
    <row r="46" spans="1:13" x14ac:dyDescent="0.25">
      <c r="A46" s="84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</row>
    <row r="47" spans="1:13" x14ac:dyDescent="0.25">
      <c r="A47" s="84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</row>
    <row r="48" spans="1:13" x14ac:dyDescent="0.25">
      <c r="A48" s="84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6"/>
    </row>
    <row r="49" spans="1:12" x14ac:dyDescent="0.25">
      <c r="A49" s="84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</row>
    <row r="50" spans="1:12" x14ac:dyDescent="0.25">
      <c r="A50" s="84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6"/>
    </row>
    <row r="51" spans="1:12" x14ac:dyDescent="0.25">
      <c r="A51" s="84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</row>
    <row r="52" spans="1:12" ht="33.75" customHeight="1" x14ac:dyDescent="0.4">
      <c r="A52" s="84"/>
      <c r="B52" s="99" t="s">
        <v>22</v>
      </c>
      <c r="C52" s="99"/>
      <c r="D52" s="99"/>
      <c r="E52" s="99"/>
      <c r="F52" s="99"/>
      <c r="G52" s="99"/>
      <c r="H52" s="99"/>
      <c r="I52" s="99"/>
      <c r="J52" s="99"/>
      <c r="K52" s="99"/>
      <c r="L52" s="86"/>
    </row>
    <row r="53" spans="1:12" ht="30" customHeight="1" x14ac:dyDescent="0.4">
      <c r="A53" s="84"/>
      <c r="B53" s="99" t="s">
        <v>83</v>
      </c>
      <c r="C53" s="99"/>
      <c r="D53" s="99"/>
      <c r="E53" s="99"/>
      <c r="F53" s="99"/>
      <c r="G53" s="99"/>
      <c r="H53" s="99"/>
      <c r="I53" s="99"/>
      <c r="J53" s="99"/>
      <c r="K53" s="99"/>
      <c r="L53" s="86"/>
    </row>
    <row r="54" spans="1:12" ht="30" customHeight="1" x14ac:dyDescent="0.4">
      <c r="A54" s="84"/>
      <c r="B54" s="125" t="s">
        <v>77</v>
      </c>
      <c r="C54" s="125"/>
      <c r="D54" s="125"/>
      <c r="E54" s="99"/>
      <c r="F54" s="99" t="s">
        <v>79</v>
      </c>
      <c r="G54" s="99"/>
      <c r="H54" s="99"/>
      <c r="I54" s="99"/>
      <c r="J54" s="99"/>
      <c r="K54" s="99"/>
      <c r="L54" s="86"/>
    </row>
    <row r="55" spans="1:12" ht="33.75" customHeight="1" x14ac:dyDescent="0.4">
      <c r="A55" s="97">
        <v>2</v>
      </c>
      <c r="B55" s="99" t="s">
        <v>33</v>
      </c>
      <c r="C55" s="126"/>
      <c r="D55" s="126"/>
      <c r="E55" s="99"/>
      <c r="F55" s="100" t="str">
        <f>IFERROR((VLOOKUP(A55,Table1[#All],2,0)),"")</f>
        <v>سامح بلامون عبدالسيد</v>
      </c>
      <c r="G55" s="99"/>
      <c r="H55" s="99"/>
      <c r="I55" s="99"/>
      <c r="J55" s="127" t="str">
        <f>IFERROR((VLOOKUP(A55,Table1[#All],3,0)),"")</f>
        <v>مدير التمويل متناهى الصغر بمحافظة قنا</v>
      </c>
      <c r="K55" s="99"/>
      <c r="L55" s="86"/>
    </row>
    <row r="56" spans="1:12" ht="33.75" customHeight="1" x14ac:dyDescent="0.4">
      <c r="A56" s="84"/>
      <c r="B56" s="99" t="s">
        <v>34</v>
      </c>
      <c r="C56" s="99"/>
      <c r="D56" s="99"/>
      <c r="E56" s="99"/>
      <c r="F56" s="99"/>
      <c r="G56" s="99"/>
      <c r="H56" s="99"/>
      <c r="I56" s="99"/>
      <c r="J56" s="99"/>
      <c r="K56" s="99"/>
      <c r="L56" s="86"/>
    </row>
    <row r="57" spans="1:12" ht="30" customHeight="1" x14ac:dyDescent="0.4">
      <c r="A57" s="84"/>
      <c r="B57" s="99" t="s">
        <v>14</v>
      </c>
      <c r="C57" s="99"/>
      <c r="D57" s="99"/>
      <c r="E57" s="99"/>
      <c r="F57" s="99"/>
      <c r="G57" s="99"/>
      <c r="H57" s="99"/>
      <c r="I57" s="99"/>
      <c r="J57" s="99"/>
      <c r="K57" s="99"/>
      <c r="L57" s="86"/>
    </row>
    <row r="58" spans="1:12" ht="42.75" customHeight="1" x14ac:dyDescent="0.4">
      <c r="A58" s="84"/>
      <c r="B58" s="158" t="s">
        <v>15</v>
      </c>
      <c r="C58" s="158"/>
      <c r="D58" s="99"/>
      <c r="E58" s="99"/>
      <c r="F58" s="99"/>
      <c r="G58" s="158" t="s">
        <v>16</v>
      </c>
      <c r="H58" s="158"/>
      <c r="I58" s="158"/>
      <c r="J58" s="158"/>
      <c r="K58" s="158"/>
      <c r="L58" s="86"/>
    </row>
    <row r="59" spans="1:12" ht="28.8" customHeight="1" x14ac:dyDescent="0.4">
      <c r="A59" s="133">
        <v>1</v>
      </c>
      <c r="B59" s="99" t="str">
        <f t="shared" ref="B59:B68" si="0">"الاستاذ "&amp;B11</f>
        <v xml:space="preserve">الاستاذ </v>
      </c>
      <c r="C59" s="99"/>
      <c r="D59" s="99"/>
      <c r="E59" s="99"/>
      <c r="F59" s="99"/>
      <c r="G59" s="139" t="s">
        <v>29</v>
      </c>
      <c r="H59" s="140"/>
      <c r="I59" s="140"/>
      <c r="J59" s="140"/>
      <c r="K59" s="140"/>
      <c r="L59" s="86"/>
    </row>
    <row r="60" spans="1:12" ht="28.8" customHeight="1" x14ac:dyDescent="0.4">
      <c r="A60" s="133">
        <v>2</v>
      </c>
      <c r="B60" s="99" t="str">
        <f t="shared" si="0"/>
        <v xml:space="preserve">الاستاذ </v>
      </c>
      <c r="C60" s="99"/>
      <c r="D60" s="99"/>
      <c r="E60" s="99"/>
      <c r="F60" s="99"/>
      <c r="G60" s="139" t="s">
        <v>29</v>
      </c>
      <c r="H60" s="140"/>
      <c r="I60" s="140"/>
      <c r="J60" s="140"/>
      <c r="K60" s="140"/>
      <c r="L60" s="86"/>
    </row>
    <row r="61" spans="1:12" ht="28.8" customHeight="1" x14ac:dyDescent="0.4">
      <c r="A61" s="133">
        <v>3</v>
      </c>
      <c r="B61" s="99" t="str">
        <f t="shared" si="0"/>
        <v xml:space="preserve">الاستاذ </v>
      </c>
      <c r="C61" s="99"/>
      <c r="D61" s="99"/>
      <c r="E61" s="99"/>
      <c r="F61" s="99"/>
      <c r="G61" s="139" t="s">
        <v>29</v>
      </c>
      <c r="H61" s="140"/>
      <c r="I61" s="140"/>
      <c r="J61" s="140"/>
      <c r="K61" s="140"/>
      <c r="L61" s="86"/>
    </row>
    <row r="62" spans="1:12" ht="28.8" customHeight="1" x14ac:dyDescent="0.4">
      <c r="A62" s="133">
        <v>4</v>
      </c>
      <c r="B62" s="99" t="str">
        <f t="shared" si="0"/>
        <v xml:space="preserve">الاستاذ </v>
      </c>
      <c r="C62" s="99"/>
      <c r="D62" s="99"/>
      <c r="E62" s="99"/>
      <c r="F62" s="99"/>
      <c r="G62" s="139" t="s">
        <v>29</v>
      </c>
      <c r="H62" s="140"/>
      <c r="I62" s="140"/>
      <c r="J62" s="140"/>
      <c r="K62" s="140"/>
      <c r="L62" s="86"/>
    </row>
    <row r="63" spans="1:12" ht="28.8" customHeight="1" x14ac:dyDescent="0.4">
      <c r="A63" s="133">
        <v>5</v>
      </c>
      <c r="B63" s="99" t="str">
        <f t="shared" si="0"/>
        <v xml:space="preserve">الاستاذ </v>
      </c>
      <c r="C63" s="99"/>
      <c r="D63" s="99"/>
      <c r="E63" s="99"/>
      <c r="F63" s="99"/>
      <c r="G63" s="139" t="s">
        <v>29</v>
      </c>
      <c r="H63" s="140"/>
      <c r="I63" s="140"/>
      <c r="J63" s="140"/>
      <c r="K63" s="140"/>
      <c r="L63" s="86"/>
    </row>
    <row r="64" spans="1:12" ht="28.8" customHeight="1" x14ac:dyDescent="0.4">
      <c r="A64" s="133">
        <v>6</v>
      </c>
      <c r="B64" s="99" t="str">
        <f t="shared" si="0"/>
        <v xml:space="preserve">الاستاذ </v>
      </c>
      <c r="C64" s="99"/>
      <c r="D64" s="99"/>
      <c r="E64" s="99"/>
      <c r="F64" s="99"/>
      <c r="G64" s="139" t="s">
        <v>29</v>
      </c>
      <c r="H64" s="140"/>
      <c r="I64" s="140"/>
      <c r="J64" s="140"/>
      <c r="K64" s="140"/>
      <c r="L64" s="86"/>
    </row>
    <row r="65" spans="1:12" ht="28.8" customHeight="1" x14ac:dyDescent="0.4">
      <c r="A65" s="133">
        <v>7</v>
      </c>
      <c r="B65" s="99" t="str">
        <f t="shared" si="0"/>
        <v xml:space="preserve">الاستاذ </v>
      </c>
      <c r="C65" s="99"/>
      <c r="D65" s="99"/>
      <c r="E65" s="99"/>
      <c r="F65" s="99"/>
      <c r="G65" s="139" t="s">
        <v>29</v>
      </c>
      <c r="H65" s="140"/>
      <c r="I65" s="140"/>
      <c r="J65" s="140"/>
      <c r="K65" s="140"/>
      <c r="L65" s="86"/>
    </row>
    <row r="66" spans="1:12" ht="28.8" customHeight="1" x14ac:dyDescent="0.4">
      <c r="A66" s="133">
        <v>8</v>
      </c>
      <c r="B66" s="99" t="str">
        <f t="shared" si="0"/>
        <v xml:space="preserve">الاستاذ </v>
      </c>
      <c r="C66" s="99"/>
      <c r="D66" s="99"/>
      <c r="E66" s="99"/>
      <c r="F66" s="99"/>
      <c r="G66" s="139" t="s">
        <v>29</v>
      </c>
      <c r="H66" s="140"/>
      <c r="I66" s="140"/>
      <c r="J66" s="140"/>
      <c r="K66" s="140"/>
      <c r="L66" s="86"/>
    </row>
    <row r="67" spans="1:12" ht="28.8" customHeight="1" x14ac:dyDescent="0.4">
      <c r="A67" s="133">
        <v>9</v>
      </c>
      <c r="B67" s="99" t="str">
        <f t="shared" si="0"/>
        <v xml:space="preserve">الاستاذ </v>
      </c>
      <c r="C67" s="99"/>
      <c r="D67" s="99"/>
      <c r="E67" s="99"/>
      <c r="F67" s="99"/>
      <c r="G67" s="139" t="s">
        <v>29</v>
      </c>
      <c r="H67" s="140"/>
      <c r="I67" s="140"/>
      <c r="J67" s="140"/>
      <c r="K67" s="140"/>
      <c r="L67" s="86"/>
    </row>
    <row r="68" spans="1:12" ht="28.8" customHeight="1" x14ac:dyDescent="0.4">
      <c r="A68" s="133">
        <v>10</v>
      </c>
      <c r="B68" s="99" t="str">
        <f t="shared" si="0"/>
        <v xml:space="preserve">الاستاذ </v>
      </c>
      <c r="C68" s="85"/>
      <c r="D68" s="85"/>
      <c r="E68" s="85"/>
      <c r="F68" s="85"/>
      <c r="G68" s="139" t="s">
        <v>29</v>
      </c>
      <c r="H68" s="140"/>
      <c r="I68" s="140"/>
      <c r="J68" s="140"/>
      <c r="K68" s="140"/>
      <c r="L68" s="86"/>
    </row>
    <row r="69" spans="1:12" ht="59.25" customHeight="1" x14ac:dyDescent="0.25">
      <c r="A69" s="8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86"/>
    </row>
    <row r="70" spans="1:12" ht="35.25" customHeight="1" thickBot="1" x14ac:dyDescent="0.45">
      <c r="A70" s="120"/>
      <c r="B70" s="121"/>
      <c r="C70" s="157" t="s">
        <v>30</v>
      </c>
      <c r="D70" s="157"/>
      <c r="E70" s="157"/>
      <c r="F70" s="157"/>
      <c r="G70" s="157"/>
      <c r="H70" s="157"/>
      <c r="I70" s="157"/>
      <c r="J70" s="157"/>
      <c r="K70" s="121"/>
      <c r="L70" s="129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  <c r="N8" s="138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59" t="str">
        <f t="shared" ref="F11:F12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4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4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 t="shared" ref="F13:F20" si="1">IFERROR(VLOOKUP(A13,الاعضاء,3,0),"")</f>
        <v/>
      </c>
      <c r="G13" s="159"/>
      <c r="H13" s="159"/>
      <c r="I13" s="159"/>
      <c r="J13" s="159"/>
      <c r="K13" s="50" t="s">
        <v>32</v>
      </c>
      <c r="L13" s="15"/>
    </row>
    <row r="14" spans="1:14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 t="shared" si="1"/>
        <v/>
      </c>
      <c r="G14" s="159"/>
      <c r="H14" s="159"/>
      <c r="I14" s="159"/>
      <c r="J14" s="159"/>
      <c r="K14" s="50" t="s">
        <v>32</v>
      </c>
      <c r="L14" s="15"/>
    </row>
    <row r="15" spans="1:14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 t="shared" si="1"/>
        <v/>
      </c>
      <c r="G15" s="159"/>
      <c r="H15" s="159"/>
      <c r="I15" s="159"/>
      <c r="J15" s="159"/>
      <c r="K15" s="50" t="s">
        <v>32</v>
      </c>
      <c r="L15" s="15"/>
    </row>
    <row r="16" spans="1:14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 t="shared" si="1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 t="shared" si="1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 t="shared" ref="F18" si="2">IFERROR(VLOOKUP(A18,الاعضاء,3,0),"")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 t="shared" ref="F19" si="3">IFERROR(VLOOKUP(A19,الاعضاء,3,0),"")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 t="shared" si="1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89</v>
      </c>
      <c r="E26" s="164"/>
      <c r="F26" s="164"/>
      <c r="G26" s="164"/>
      <c r="H26" s="164"/>
      <c r="I26" s="164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90</v>
      </c>
      <c r="E27" s="164"/>
      <c r="F27" s="164"/>
      <c r="G27" s="164"/>
      <c r="H27" s="164"/>
      <c r="I27" s="164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100</v>
      </c>
      <c r="E28" s="173"/>
      <c r="F28" s="173"/>
      <c r="G28" s="173"/>
      <c r="H28" s="173"/>
      <c r="I28" s="174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customHeight="1" x14ac:dyDescent="0.4">
      <c r="A68" s="133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85" t="s">
        <v>35</v>
      </c>
      <c r="C21" s="185"/>
      <c r="D21" s="185"/>
      <c r="E21" s="185"/>
      <c r="F21" s="185"/>
      <c r="G21" s="185"/>
      <c r="H21" s="185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59" t="s">
        <v>5</v>
      </c>
      <c r="K25" s="25" t="s">
        <v>4</v>
      </c>
      <c r="L25" s="17"/>
      <c r="M25" s="2"/>
    </row>
    <row r="26" spans="1:13" ht="28.8" hidden="1" customHeight="1" x14ac:dyDescent="0.4">
      <c r="A26" s="12"/>
      <c r="B26" s="8"/>
      <c r="C26" s="26">
        <v>1</v>
      </c>
      <c r="D26" s="164" t="s">
        <v>85</v>
      </c>
      <c r="E26" s="164"/>
      <c r="F26" s="164"/>
      <c r="G26" s="164"/>
      <c r="H26" s="164"/>
      <c r="I26" s="164"/>
      <c r="J26" s="73"/>
      <c r="K26" s="74"/>
      <c r="L26" s="16"/>
      <c r="M26" s="2"/>
    </row>
    <row r="27" spans="1:13" ht="28.8" hidden="1" customHeight="1" x14ac:dyDescent="0.4">
      <c r="A27" s="12"/>
      <c r="B27" s="8"/>
      <c r="C27" s="26">
        <v>1</v>
      </c>
      <c r="D27" s="164" t="s">
        <v>86</v>
      </c>
      <c r="E27" s="164"/>
      <c r="F27" s="164"/>
      <c r="G27" s="164"/>
      <c r="H27" s="164"/>
      <c r="I27" s="164"/>
      <c r="J27" s="73"/>
      <c r="K27" s="74"/>
      <c r="L27" s="16"/>
      <c r="M27" s="2"/>
    </row>
    <row r="28" spans="1:13" ht="28.8" customHeight="1" x14ac:dyDescent="0.4">
      <c r="A28" s="12"/>
      <c r="B28" s="8"/>
      <c r="C28" s="26">
        <v>2</v>
      </c>
      <c r="D28" s="182" t="s">
        <v>87</v>
      </c>
      <c r="E28" s="183"/>
      <c r="F28" s="183"/>
      <c r="G28" s="183"/>
      <c r="H28" s="183"/>
      <c r="I28" s="184"/>
      <c r="J28" s="75"/>
      <c r="K28" s="77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88</v>
      </c>
      <c r="E29" s="178"/>
      <c r="F29" s="178"/>
      <c r="G29" s="178"/>
      <c r="H29" s="178"/>
      <c r="I29" s="178"/>
      <c r="J29" s="75"/>
      <c r="K29" s="76"/>
      <c r="L29" s="16"/>
      <c r="M29" s="2"/>
    </row>
    <row r="30" spans="1:13" ht="30.75" hidden="1" customHeight="1" x14ac:dyDescent="0.4">
      <c r="A30" s="12"/>
      <c r="B30" s="8"/>
      <c r="C30" s="26"/>
      <c r="D30" s="177"/>
      <c r="E30" s="178"/>
      <c r="F30" s="178"/>
      <c r="G30" s="178"/>
      <c r="H30" s="178"/>
      <c r="I30" s="178"/>
      <c r="J30" s="75"/>
      <c r="K30" s="76"/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111">
        <f>SUM(J26:J30)</f>
        <v>0</v>
      </c>
      <c r="K31" s="135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7" t="s">
        <v>84</v>
      </c>
      <c r="C54" s="187"/>
      <c r="D54" s="187"/>
      <c r="E54" s="187"/>
      <c r="F54" s="187"/>
      <c r="G54" s="187"/>
      <c r="H54" s="187"/>
      <c r="I54" s="187"/>
      <c r="J54" s="187"/>
      <c r="K54" s="187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8" customHeight="1" x14ac:dyDescent="0.4">
      <c r="A68" s="133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5" t="s">
        <v>30</v>
      </c>
      <c r="D71" s="165"/>
      <c r="E71" s="165"/>
      <c r="F71" s="165"/>
      <c r="G71" s="165"/>
      <c r="H71" s="165"/>
      <c r="I71" s="165"/>
      <c r="J71" s="165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2" t="s">
        <v>82</v>
      </c>
      <c r="G21" s="192"/>
      <c r="H21" s="192"/>
      <c r="I21" s="192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7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106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28.8" hidden="1" customHeight="1" x14ac:dyDescent="0.4">
      <c r="A27" s="12"/>
      <c r="B27" s="8"/>
      <c r="C27" s="26">
        <v>2</v>
      </c>
      <c r="D27" s="164" t="s">
        <v>74</v>
      </c>
      <c r="E27" s="164"/>
      <c r="F27" s="164"/>
      <c r="G27" s="164"/>
      <c r="H27" s="164"/>
      <c r="I27" s="164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7" t="s">
        <v>75</v>
      </c>
      <c r="E28" s="178"/>
      <c r="F28" s="178"/>
      <c r="G28" s="178"/>
      <c r="H28" s="178"/>
      <c r="I28" s="17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7"/>
      <c r="E29" s="178"/>
      <c r="F29" s="178"/>
      <c r="G29" s="178"/>
      <c r="H29" s="178"/>
      <c r="I29" s="17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2" t="s">
        <v>9</v>
      </c>
      <c r="D30" s="163"/>
      <c r="E30" s="163"/>
      <c r="F30" s="163"/>
      <c r="G30" s="163"/>
      <c r="H30" s="163"/>
      <c r="I30" s="16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4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7" t="s">
        <v>17</v>
      </c>
      <c r="E33" s="167"/>
      <c r="F33" s="167"/>
      <c r="G33" s="167"/>
      <c r="H33" s="167"/>
      <c r="I33" s="167"/>
      <c r="J33" s="167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8" t="s">
        <v>76</v>
      </c>
      <c r="E35" s="188"/>
      <c r="F35" s="188"/>
      <c r="G35" s="189"/>
      <c r="H35" s="188"/>
      <c r="I35" s="188"/>
      <c r="J35" s="188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69" t="s">
        <v>98</v>
      </c>
      <c r="E36" s="170"/>
      <c r="F36" s="170"/>
      <c r="G36" s="170"/>
      <c r="H36" s="170"/>
      <c r="I36" s="170"/>
      <c r="J36" s="171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7" t="s">
        <v>11</v>
      </c>
      <c r="E37" s="167"/>
      <c r="F37" s="167"/>
      <c r="G37" s="167"/>
      <c r="H37" s="167"/>
      <c r="I37" s="167"/>
      <c r="J37" s="167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9" t="s">
        <v>21</v>
      </c>
      <c r="E38" s="170"/>
      <c r="F38" s="170"/>
      <c r="G38" s="170"/>
      <c r="H38" s="170"/>
      <c r="I38" s="170"/>
      <c r="J38" s="171"/>
      <c r="K38" s="37"/>
      <c r="L38" s="16"/>
      <c r="M38" s="2"/>
    </row>
    <row r="39" spans="1:13" ht="30.75" customHeight="1" thickBot="1" x14ac:dyDescent="0.45">
      <c r="A39" s="12"/>
      <c r="B39" s="8"/>
      <c r="C39" s="162" t="s">
        <v>12</v>
      </c>
      <c r="D39" s="163"/>
      <c r="E39" s="163"/>
      <c r="F39" s="163"/>
      <c r="G39" s="163"/>
      <c r="H39" s="163"/>
      <c r="I39" s="163"/>
      <c r="J39" s="16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5" t="s">
        <v>30</v>
      </c>
      <c r="D41" s="165"/>
      <c r="E41" s="165"/>
      <c r="F41" s="165"/>
      <c r="G41" s="165"/>
      <c r="H41" s="165"/>
      <c r="I41" s="165"/>
      <c r="J41" s="165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9" t="s">
        <v>15</v>
      </c>
      <c r="C57" s="179"/>
      <c r="D57" s="22"/>
      <c r="E57" s="22"/>
      <c r="F57" s="22"/>
      <c r="G57" s="179" t="s">
        <v>16</v>
      </c>
      <c r="H57" s="179"/>
      <c r="I57" s="179"/>
      <c r="J57" s="179"/>
      <c r="K57" s="179"/>
      <c r="L57" s="13"/>
    </row>
    <row r="58" spans="1:12" ht="28.8" customHeight="1" x14ac:dyDescent="0.4">
      <c r="A58" s="133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3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5" t="s">
        <v>30</v>
      </c>
      <c r="D70" s="165"/>
      <c r="E70" s="165"/>
      <c r="F70" s="165"/>
      <c r="G70" s="165"/>
      <c r="H70" s="165"/>
      <c r="I70" s="165"/>
      <c r="J70" s="165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topLeftCell="A19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2" t="s">
        <v>92</v>
      </c>
      <c r="G21" s="192"/>
      <c r="H21" s="192"/>
      <c r="I21" s="192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93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7"/>
      <c r="E27" s="178"/>
      <c r="F27" s="178"/>
      <c r="G27" s="178"/>
      <c r="H27" s="178"/>
      <c r="I27" s="17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2" t="s">
        <v>9</v>
      </c>
      <c r="D28" s="163"/>
      <c r="E28" s="163"/>
      <c r="F28" s="163"/>
      <c r="G28" s="163"/>
      <c r="H28" s="163"/>
      <c r="I28" s="16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4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6" t="s">
        <v>6</v>
      </c>
      <c r="E30" s="166"/>
      <c r="F30" s="166"/>
      <c r="G30" s="166"/>
      <c r="H30" s="166"/>
      <c r="I30" s="166"/>
      <c r="J30" s="166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7" t="s">
        <v>17</v>
      </c>
      <c r="E31" s="167"/>
      <c r="F31" s="167"/>
      <c r="G31" s="167"/>
      <c r="H31" s="167"/>
      <c r="I31" s="167"/>
      <c r="J31" s="167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8" t="s">
        <v>76</v>
      </c>
      <c r="E33" s="188"/>
      <c r="F33" s="188"/>
      <c r="G33" s="189"/>
      <c r="H33" s="188"/>
      <c r="I33" s="188"/>
      <c r="J33" s="188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9" t="s">
        <v>98</v>
      </c>
      <c r="E34" s="170"/>
      <c r="F34" s="170"/>
      <c r="G34" s="170"/>
      <c r="H34" s="170"/>
      <c r="I34" s="170"/>
      <c r="J34" s="171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7" t="s">
        <v>11</v>
      </c>
      <c r="E35" s="167"/>
      <c r="F35" s="167"/>
      <c r="G35" s="167"/>
      <c r="H35" s="167"/>
      <c r="I35" s="167"/>
      <c r="J35" s="167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9" t="s">
        <v>21</v>
      </c>
      <c r="E36" s="170"/>
      <c r="F36" s="170"/>
      <c r="G36" s="170"/>
      <c r="H36" s="170"/>
      <c r="I36" s="170"/>
      <c r="J36" s="171"/>
      <c r="K36" s="37"/>
      <c r="L36" s="16"/>
      <c r="M36" s="2"/>
    </row>
    <row r="37" spans="1:13" ht="30.75" customHeight="1" thickBot="1" x14ac:dyDescent="0.45">
      <c r="A37" s="12"/>
      <c r="B37" s="8"/>
      <c r="C37" s="162" t="s">
        <v>12</v>
      </c>
      <c r="D37" s="163"/>
      <c r="E37" s="163"/>
      <c r="F37" s="163"/>
      <c r="G37" s="163"/>
      <c r="H37" s="163"/>
      <c r="I37" s="163"/>
      <c r="J37" s="16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5" t="s">
        <v>30</v>
      </c>
      <c r="D39" s="165"/>
      <c r="E39" s="165"/>
      <c r="F39" s="165"/>
      <c r="G39" s="165"/>
      <c r="H39" s="165"/>
      <c r="I39" s="165"/>
      <c r="J39" s="165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9" t="s">
        <v>15</v>
      </c>
      <c r="C55" s="179"/>
      <c r="D55" s="22"/>
      <c r="E55" s="22"/>
      <c r="F55" s="22"/>
      <c r="G55" s="179" t="s">
        <v>16</v>
      </c>
      <c r="H55" s="179"/>
      <c r="I55" s="179"/>
      <c r="J55" s="179"/>
      <c r="K55" s="179"/>
      <c r="L55" s="13"/>
    </row>
    <row r="56" spans="1:12" ht="28.8" customHeight="1" x14ac:dyDescent="0.4">
      <c r="A56" s="133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8" customHeight="1" x14ac:dyDescent="0.4">
      <c r="A57" s="133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8" customHeight="1" x14ac:dyDescent="0.4">
      <c r="A58" s="133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3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5" t="s">
        <v>30</v>
      </c>
      <c r="D68" s="165"/>
      <c r="E68" s="165"/>
      <c r="F68" s="165"/>
      <c r="G68" s="165"/>
      <c r="H68" s="165"/>
      <c r="I68" s="165"/>
      <c r="J68" s="165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59" t="str">
        <f t="shared" ref="F11:F20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 t="shared" si="0"/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 t="shared" si="0"/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 t="shared" si="0"/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 t="shared" si="0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 t="shared" si="0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 t="shared" si="0"/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 t="shared" si="0"/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 t="shared" si="0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137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6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96</v>
      </c>
      <c r="E26" s="164"/>
      <c r="F26" s="164"/>
      <c r="G26" s="164"/>
      <c r="H26" s="164"/>
      <c r="I26" s="164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97</v>
      </c>
      <c r="E27" s="164"/>
      <c r="F27" s="164"/>
      <c r="G27" s="164"/>
      <c r="H27" s="164"/>
      <c r="I27" s="164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99</v>
      </c>
      <c r="E28" s="173"/>
      <c r="F28" s="173"/>
      <c r="G28" s="173"/>
      <c r="H28" s="173"/>
      <c r="I28" s="174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customHeight="1" x14ac:dyDescent="0.4">
      <c r="A68" s="133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3"/>
  <sheetViews>
    <sheetView rightToLeft="1" tabSelected="1" workbookViewId="0">
      <selection activeCell="D24" sqref="D24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62" t="s">
        <v>61</v>
      </c>
      <c r="D9" s="52" t="s">
        <v>80</v>
      </c>
    </row>
    <row r="10" spans="2:4" x14ac:dyDescent="0.25">
      <c r="B10" s="51">
        <v>8</v>
      </c>
      <c r="C10" s="62" t="s">
        <v>54</v>
      </c>
      <c r="D10" s="58" t="s">
        <v>66</v>
      </c>
    </row>
    <row r="11" spans="2:4" x14ac:dyDescent="0.25">
      <c r="B11" s="51">
        <v>9</v>
      </c>
      <c r="C11" s="62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62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ht="13.8" x14ac:dyDescent="0.25">
      <c r="B22" s="51">
        <v>20</v>
      </c>
      <c r="C22" s="61" t="s">
        <v>107</v>
      </c>
      <c r="D22" s="52" t="s">
        <v>108</v>
      </c>
    </row>
    <row r="23" spans="2:4" x14ac:dyDescent="0.25">
      <c r="B23" s="57"/>
      <c r="C23" s="58"/>
      <c r="D23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2025-01-29T07:41:06Z</dcterms:modified>
</cp:coreProperties>
</file>