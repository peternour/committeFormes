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300" windowWidth="12120" windowHeight="8940" tabRatio="697" activeTab="6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DATA!$B$3:$D$21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<sst xmlns="http://schemas.openxmlformats.org/spreadsheetml/2006/main" count="417" uniqueCount="107">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</sst>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1" totalsRowShown="0" headerRowDxfId="4" dataDxfId="3">
  <autoFilter ref="B2:D21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54" t="s">
        <v>24</v>
      </c>
      <c r="C8" s="155"/>
      <c r="D8" s="155"/>
      <c r="E8" s="155"/>
      <c r="F8" s="155"/>
      <c r="G8" s="155"/>
      <c r="H8" s="155"/>
      <c r="I8" s="155"/>
      <c r="J8" s="155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0</v>
      </c>
      <c r="D10" s="88" t="s">
        <v>1</v>
      </c>
      <c r="E10" s="68"/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/>
      <c r="B11" s="93" t="str">
        <f>IFERROR(VLOOKUP(A11,Table1[#All],2,0),"")</f>
        <v/>
      </c>
      <c r="C11" s="93"/>
      <c r="D11" s="93"/>
      <c r="E11" s="94"/>
      <c r="F11" s="152" t="str">
        <f>IFERROR(VLOOKUP(A11,Table1[#All],3,0),"")</f>
        <v/>
      </c>
      <c r="G11" s="152"/>
      <c r="H11" s="152"/>
      <c r="I11" s="152"/>
      <c r="J11" s="152"/>
      <c r="K11" s="95" t="s">
        <v>32</v>
      </c>
      <c r="L11" s="96"/>
    </row>
    <row r="12" spans="1:12" s="92" customFormat="1" ht="28.2" customHeight="1" x14ac:dyDescent="0.4">
      <c r="A12" s="69"/>
      <c r="B12" s="93" t="str">
        <f>IFERROR(VLOOKUP(A12,Table1[#All],2,0),"")</f>
        <v/>
      </c>
      <c r="C12" s="93"/>
      <c r="D12" s="93"/>
      <c r="E12" s="94"/>
      <c r="F12" s="152" t="str">
        <f>IFERROR(VLOOKUP(A12,Table1[#All],3,0),"")</f>
        <v/>
      </c>
      <c r="G12" s="152"/>
      <c r="H12" s="152"/>
      <c r="I12" s="152"/>
      <c r="J12" s="152"/>
      <c r="K12" s="95" t="s">
        <v>32</v>
      </c>
      <c r="L12" s="96"/>
    </row>
    <row r="13" spans="1:12" s="92" customFormat="1" ht="28.2" customHeight="1" x14ac:dyDescent="0.4">
      <c r="A13" s="69"/>
      <c r="B13" s="93" t="str">
        <f>IFERROR(VLOOKUP(A13,Table1[#All],2,0),"")</f>
        <v/>
      </c>
      <c r="C13" s="93"/>
      <c r="D13" s="93"/>
      <c r="E13" s="94"/>
      <c r="F13" s="152" t="str">
        <f>IFERROR(VLOOKUP(A13,Table1[#All],3,0),"")</f>
        <v/>
      </c>
      <c r="G13" s="152"/>
      <c r="H13" s="152"/>
      <c r="I13" s="152"/>
      <c r="J13" s="152"/>
      <c r="K13" s="95" t="s">
        <v>32</v>
      </c>
      <c r="L13" s="96"/>
    </row>
    <row r="14" spans="1:12" s="92" customFormat="1" ht="28.2" customHeight="1" x14ac:dyDescent="0.4">
      <c r="A14" s="69"/>
      <c r="B14" s="93" t="str">
        <f>IFERROR(VLOOKUP(A14,Table1[#All],2,0),"")</f>
        <v/>
      </c>
      <c r="C14" s="93"/>
      <c r="D14" s="93"/>
      <c r="E14" s="94"/>
      <c r="F14" s="152" t="str">
        <f>IFERROR(VLOOKUP(A14,Table1[#All],3,0),"")</f>
        <v/>
      </c>
      <c r="G14" s="152"/>
      <c r="H14" s="152"/>
      <c r="I14" s="152"/>
      <c r="J14" s="152"/>
      <c r="K14" s="95" t="s">
        <v>32</v>
      </c>
      <c r="L14" s="96"/>
    </row>
    <row r="15" spans="1:12" s="92" customFormat="1" ht="28.2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52" t="str">
        <f>IFERROR(VLOOKUP(A15,Table1[#All],3,0),"")</f>
        <v/>
      </c>
      <c r="G15" s="152"/>
      <c r="H15" s="152"/>
      <c r="I15" s="152"/>
      <c r="J15" s="152"/>
      <c r="K15" s="95" t="s">
        <v>32</v>
      </c>
      <c r="L15" s="96"/>
    </row>
    <row r="16" spans="1:12" s="92" customFormat="1" ht="28.2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52" t="str">
        <f>IFERROR(VLOOKUP(A16,Table1[#All],3,0),"")</f>
        <v/>
      </c>
      <c r="G16" s="152"/>
      <c r="H16" s="152"/>
      <c r="I16" s="152"/>
      <c r="J16" s="152"/>
      <c r="K16" s="95" t="s">
        <v>32</v>
      </c>
      <c r="L16" s="96"/>
    </row>
    <row r="17" spans="1:13" s="92" customFormat="1" ht="28.2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52" t="str">
        <f>IFERROR(VLOOKUP(A17,Table1[#All],3,0),"")</f>
        <v/>
      </c>
      <c r="G17" s="152"/>
      <c r="H17" s="152"/>
      <c r="I17" s="152"/>
      <c r="J17" s="152"/>
      <c r="K17" s="95" t="s">
        <v>32</v>
      </c>
      <c r="L17" s="96"/>
    </row>
    <row r="18" spans="1:13" s="92" customFormat="1" ht="28.2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52" t="str">
        <f>IFERROR(VLOOKUP(A18,Table1[#All],3,0),"")</f>
        <v/>
      </c>
      <c r="G18" s="152"/>
      <c r="H18" s="152"/>
      <c r="I18" s="152"/>
      <c r="J18" s="152"/>
      <c r="K18" s="95" t="s">
        <v>32</v>
      </c>
      <c r="L18" s="96"/>
    </row>
    <row r="19" spans="1:13" s="92" customFormat="1" ht="28.2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52" t="str">
        <f>IFERROR(VLOOKUP(A19,Table1[#All],3,0),"")</f>
        <v/>
      </c>
      <c r="G19" s="152"/>
      <c r="H19" s="152"/>
      <c r="I19" s="152"/>
      <c r="J19" s="152"/>
      <c r="K19" s="95" t="s">
        <v>32</v>
      </c>
      <c r="L19" s="96"/>
    </row>
    <row r="20" spans="1:13" ht="28.2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52" t="str">
        <f>IFERROR(VLOOKUP(A20,Table1[#All],3,0),"")</f>
        <v/>
      </c>
      <c r="G20" s="152"/>
      <c r="H20" s="152"/>
      <c r="I20" s="152"/>
      <c r="J20" s="152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/>
      <c r="G22" s="103" t="s">
        <v>2</v>
      </c>
      <c r="H22" s="104"/>
      <c r="I22" s="72"/>
      <c r="J22" s="157" t="str">
        <f>NoToTxt(I22,"جنيها","قرش")&amp;" لاغير"</f>
        <v>صفر لاغير</v>
      </c>
      <c r="K22" s="157"/>
      <c r="L22" s="158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51" t="s">
        <v>6</v>
      </c>
      <c r="E25" s="151"/>
      <c r="F25" s="151"/>
      <c r="G25" s="151"/>
      <c r="H25" s="151"/>
      <c r="I25" s="151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56" t="s">
        <v>51</v>
      </c>
      <c r="E26" s="156"/>
      <c r="F26" s="156"/>
      <c r="G26" s="156"/>
      <c r="H26" s="156"/>
      <c r="I26" s="156"/>
      <c r="J26" s="75"/>
      <c r="K26" s="77"/>
      <c r="L26" s="101"/>
      <c r="M26" s="102"/>
    </row>
    <row r="27" spans="1:13" ht="28.95" customHeight="1" x14ac:dyDescent="0.4">
      <c r="A27" s="84"/>
      <c r="B27" s="105"/>
      <c r="C27" s="110">
        <v>2</v>
      </c>
      <c r="D27" s="156" t="s">
        <v>52</v>
      </c>
      <c r="E27" s="156"/>
      <c r="F27" s="156"/>
      <c r="G27" s="156"/>
      <c r="H27" s="156"/>
      <c r="I27" s="156"/>
      <c r="J27" s="75"/>
      <c r="K27" s="77"/>
      <c r="L27" s="101"/>
      <c r="M27" s="102"/>
    </row>
    <row r="28" spans="1:13" ht="30.75" hidden="1" customHeight="1" x14ac:dyDescent="0.4">
      <c r="A28" s="84"/>
      <c r="B28" s="105"/>
      <c r="C28" s="110"/>
      <c r="D28" s="149"/>
      <c r="E28" s="150"/>
      <c r="F28" s="150"/>
      <c r="G28" s="150"/>
      <c r="H28" s="150"/>
      <c r="I28" s="150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9"/>
      <c r="E29" s="150"/>
      <c r="F29" s="150"/>
      <c r="G29" s="150"/>
      <c r="H29" s="150"/>
      <c r="I29" s="150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42" t="s">
        <v>9</v>
      </c>
      <c r="D30" s="143"/>
      <c r="E30" s="143"/>
      <c r="F30" s="143"/>
      <c r="G30" s="143"/>
      <c r="H30" s="143"/>
      <c r="I30" s="143"/>
      <c r="J30" s="111">
        <f>SUM(J26:J27)</f>
        <v>0</v>
      </c>
      <c r="K30" s="111">
        <f>SUM(K26:K27)</f>
        <v>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51" t="s">
        <v>6</v>
      </c>
      <c r="E32" s="151"/>
      <c r="F32" s="151"/>
      <c r="G32" s="151"/>
      <c r="H32" s="151"/>
      <c r="I32" s="151"/>
      <c r="J32" s="151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48" t="s">
        <v>17</v>
      </c>
      <c r="E33" s="148"/>
      <c r="F33" s="148"/>
      <c r="G33" s="148"/>
      <c r="H33" s="148"/>
      <c r="I33" s="148"/>
      <c r="J33" s="148"/>
      <c r="K33" s="77"/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/>
      <c r="L34" s="101"/>
      <c r="M34" s="102"/>
    </row>
    <row r="35" spans="1:13" ht="30.75" customHeight="1" x14ac:dyDescent="0.4">
      <c r="A35" s="84"/>
      <c r="B35" s="105"/>
      <c r="C35" s="110">
        <v>3</v>
      </c>
      <c r="D35" s="148" t="s">
        <v>19</v>
      </c>
      <c r="E35" s="148"/>
      <c r="F35" s="148"/>
      <c r="G35" s="153"/>
      <c r="H35" s="148"/>
      <c r="I35" s="148"/>
      <c r="J35" s="148"/>
      <c r="K35" s="77"/>
      <c r="L35" s="101"/>
      <c r="M35" s="102"/>
    </row>
    <row r="36" spans="1:13" ht="30.75" customHeight="1" x14ac:dyDescent="0.4">
      <c r="A36" s="84"/>
      <c r="B36" s="105"/>
      <c r="C36" s="115">
        <v>4</v>
      </c>
      <c r="D36" s="139" t="s">
        <v>48</v>
      </c>
      <c r="E36" s="140"/>
      <c r="F36" s="140"/>
      <c r="G36" s="140"/>
      <c r="H36" s="140"/>
      <c r="I36" s="140"/>
      <c r="J36" s="141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48" t="s">
        <v>11</v>
      </c>
      <c r="E37" s="148"/>
      <c r="F37" s="148"/>
      <c r="G37" s="148"/>
      <c r="H37" s="148"/>
      <c r="I37" s="148"/>
      <c r="J37" s="148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39" t="s">
        <v>49</v>
      </c>
      <c r="E38" s="140"/>
      <c r="F38" s="140"/>
      <c r="G38" s="140"/>
      <c r="H38" s="140"/>
      <c r="I38" s="140"/>
      <c r="J38" s="141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39" t="s">
        <v>21</v>
      </c>
      <c r="E39" s="140"/>
      <c r="F39" s="140"/>
      <c r="G39" s="140"/>
      <c r="H39" s="140"/>
      <c r="I39" s="140"/>
      <c r="J39" s="141"/>
      <c r="K39" s="79"/>
      <c r="L39" s="101"/>
      <c r="M39" s="102"/>
    </row>
    <row r="40" spans="1:13" ht="30.75" customHeight="1" thickBot="1" x14ac:dyDescent="0.45">
      <c r="A40" s="84"/>
      <c r="B40" s="105"/>
      <c r="C40" s="142" t="s">
        <v>12</v>
      </c>
      <c r="D40" s="143"/>
      <c r="E40" s="143"/>
      <c r="F40" s="143"/>
      <c r="G40" s="143"/>
      <c r="H40" s="143"/>
      <c r="I40" s="143"/>
      <c r="J40" s="143"/>
      <c r="K40" s="116">
        <f>SUM(K33:K38)-K39</f>
        <v>0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44" t="s">
        <v>30</v>
      </c>
      <c r="D42" s="144"/>
      <c r="E42" s="144"/>
      <c r="F42" s="144"/>
      <c r="G42" s="144"/>
      <c r="H42" s="144"/>
      <c r="I42" s="144"/>
      <c r="J42" s="144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47" t="s">
        <v>15</v>
      </c>
      <c r="C58" s="147"/>
      <c r="D58" s="99"/>
      <c r="E58" s="99"/>
      <c r="F58" s="99"/>
      <c r="G58" s="147" t="s">
        <v>16</v>
      </c>
      <c r="H58" s="147"/>
      <c r="I58" s="147"/>
      <c r="J58" s="147"/>
      <c r="K58" s="147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 xml:space="preserve">الاستاذ </v>
      </c>
      <c r="C59" s="99"/>
      <c r="D59" s="99"/>
      <c r="E59" s="99"/>
      <c r="F59" s="99"/>
      <c r="G59" s="145" t="s">
        <v>29</v>
      </c>
      <c r="H59" s="146"/>
      <c r="I59" s="146"/>
      <c r="J59" s="146"/>
      <c r="K59" s="146"/>
      <c r="L59" s="86"/>
    </row>
    <row r="60" spans="1:12" ht="28.8" customHeight="1" x14ac:dyDescent="0.4">
      <c r="A60" s="133">
        <v>2</v>
      </c>
      <c r="B60" s="99" t="str">
        <f t="shared" si="0"/>
        <v xml:space="preserve">الاستاذ </v>
      </c>
      <c r="C60" s="99"/>
      <c r="D60" s="99"/>
      <c r="E60" s="99"/>
      <c r="F60" s="99"/>
      <c r="G60" s="145" t="s">
        <v>29</v>
      </c>
      <c r="H60" s="146"/>
      <c r="I60" s="146"/>
      <c r="J60" s="146"/>
      <c r="K60" s="146"/>
      <c r="L60" s="86"/>
    </row>
    <row r="61" spans="1:12" ht="28.8" customHeight="1" x14ac:dyDescent="0.4">
      <c r="A61" s="133">
        <v>3</v>
      </c>
      <c r="B61" s="99" t="str">
        <f t="shared" si="0"/>
        <v xml:space="preserve">الاستاذ </v>
      </c>
      <c r="C61" s="99"/>
      <c r="D61" s="99"/>
      <c r="E61" s="99"/>
      <c r="F61" s="99"/>
      <c r="G61" s="145" t="s">
        <v>29</v>
      </c>
      <c r="H61" s="146"/>
      <c r="I61" s="146"/>
      <c r="J61" s="146"/>
      <c r="K61" s="146"/>
      <c r="L61" s="86"/>
    </row>
    <row r="62" spans="1:12" ht="28.8" customHeight="1" x14ac:dyDescent="0.4">
      <c r="A62" s="133">
        <v>4</v>
      </c>
      <c r="B62" s="99" t="str">
        <f t="shared" si="0"/>
        <v xml:space="preserve">الاستاذ </v>
      </c>
      <c r="C62" s="99"/>
      <c r="D62" s="99"/>
      <c r="E62" s="99"/>
      <c r="F62" s="99"/>
      <c r="G62" s="145" t="s">
        <v>29</v>
      </c>
      <c r="H62" s="146"/>
      <c r="I62" s="146"/>
      <c r="J62" s="146"/>
      <c r="K62" s="146"/>
      <c r="L62" s="86"/>
    </row>
    <row r="63" spans="1:12" ht="28.8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45" t="s">
        <v>29</v>
      </c>
      <c r="H63" s="146"/>
      <c r="I63" s="146"/>
      <c r="J63" s="146"/>
      <c r="K63" s="146"/>
      <c r="L63" s="86"/>
    </row>
    <row r="64" spans="1:12" ht="28.8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45" t="s">
        <v>29</v>
      </c>
      <c r="H64" s="146"/>
      <c r="I64" s="146"/>
      <c r="J64" s="146"/>
      <c r="K64" s="146"/>
      <c r="L64" s="86"/>
    </row>
    <row r="65" spans="1:12" ht="28.8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45" t="s">
        <v>29</v>
      </c>
      <c r="H65" s="146"/>
      <c r="I65" s="146"/>
      <c r="J65" s="146"/>
      <c r="K65" s="146"/>
      <c r="L65" s="86"/>
    </row>
    <row r="66" spans="1:12" ht="28.8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45" t="s">
        <v>29</v>
      </c>
      <c r="H66" s="146"/>
      <c r="I66" s="146"/>
      <c r="J66" s="146"/>
      <c r="K66" s="146"/>
      <c r="L66" s="86"/>
    </row>
    <row r="67" spans="1:12" ht="28.8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45" t="s">
        <v>29</v>
      </c>
      <c r="H67" s="146"/>
      <c r="I67" s="146"/>
      <c r="J67" s="146"/>
      <c r="K67" s="146"/>
      <c r="L67" s="86"/>
    </row>
    <row r="68" spans="1:12" ht="28.8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45" t="s">
        <v>29</v>
      </c>
      <c r="H68" s="146"/>
      <c r="I68" s="146"/>
      <c r="J68" s="146"/>
      <c r="K68" s="146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44" t="s">
        <v>30</v>
      </c>
      <c r="D70" s="144"/>
      <c r="E70" s="144"/>
      <c r="F70" s="144"/>
      <c r="G70" s="144"/>
      <c r="H70" s="144"/>
      <c r="I70" s="144"/>
      <c r="J70" s="144"/>
      <c r="K70" s="121"/>
      <c r="L70" s="129"/>
    </row>
  </sheetData>
  <sheetProtection selectLockedCells="1"/>
  <mergeCells count="40"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69" t="str">
        <f t="shared" ref="F11:F12" si="0">IFERROR(VLOOKUP(A11,الاعضاء,3,0),"")</f>
        <v/>
      </c>
      <c r="G11" s="169"/>
      <c r="H11" s="169"/>
      <c r="I11" s="169"/>
      <c r="J11" s="169"/>
      <c r="K11" s="50" t="s">
        <v>32</v>
      </c>
      <c r="L11" s="15"/>
    </row>
    <row r="12" spans="1:14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69" t="str">
        <f t="shared" si="0"/>
        <v/>
      </c>
      <c r="G12" s="169"/>
      <c r="H12" s="169"/>
      <c r="I12" s="169"/>
      <c r="J12" s="169"/>
      <c r="K12" s="50" t="s">
        <v>32</v>
      </c>
      <c r="L12" s="15"/>
    </row>
    <row r="13" spans="1:14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69" t="str">
        <f t="shared" ref="F13:F20" si="1">IFERROR(VLOOKUP(A13,الاعضاء,3,0),"")</f>
        <v/>
      </c>
      <c r="G13" s="169"/>
      <c r="H13" s="169"/>
      <c r="I13" s="169"/>
      <c r="J13" s="169"/>
      <c r="K13" s="50" t="s">
        <v>32</v>
      </c>
      <c r="L13" s="15"/>
    </row>
    <row r="14" spans="1:14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69" t="str">
        <f t="shared" si="1"/>
        <v/>
      </c>
      <c r="G14" s="169"/>
      <c r="H14" s="169"/>
      <c r="I14" s="169"/>
      <c r="J14" s="169"/>
      <c r="K14" s="50" t="s">
        <v>32</v>
      </c>
      <c r="L14" s="15"/>
    </row>
    <row r="15" spans="1:14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 t="shared" si="1"/>
        <v/>
      </c>
      <c r="G15" s="169"/>
      <c r="H15" s="169"/>
      <c r="I15" s="169"/>
      <c r="J15" s="169"/>
      <c r="K15" s="50" t="s">
        <v>32</v>
      </c>
      <c r="L15" s="15"/>
    </row>
    <row r="16" spans="1:14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 t="shared" si="1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 t="shared" si="1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 t="shared" ref="F18" si="2">IFERROR(VLOOKUP(A18,الاعضاء,3,0),"")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 t="shared" ref="F19" si="3">IFERROR(VLOOKUP(A19,الاعضاء,3,0),"")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 t="shared" si="1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89</v>
      </c>
      <c r="E26" s="166"/>
      <c r="F26" s="166"/>
      <c r="G26" s="166"/>
      <c r="H26" s="166"/>
      <c r="I26" s="166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6" t="s">
        <v>90</v>
      </c>
      <c r="E27" s="166"/>
      <c r="F27" s="166"/>
      <c r="G27" s="166"/>
      <c r="H27" s="166"/>
      <c r="I27" s="166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9" t="s">
        <v>100</v>
      </c>
      <c r="E28" s="180"/>
      <c r="F28" s="180"/>
      <c r="G28" s="180"/>
      <c r="H28" s="180"/>
      <c r="I28" s="181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8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4" t="str">
        <f>IFERROR(VLOOKUP(A11,DATA!B3:D21,3,0),"")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69" t="str">
        <f>IFERROR(VLOOKUP(A12,DATA!B3:D22,3,0),"")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69" t="str">
        <f>IFERROR(VLOOKUP(A13,DATA!B3:D23,3,0),"")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69" t="str">
        <f>IFERROR(VLOOKUP(A14,DATA!B4:D24,3,0),"")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>IFERROR(VLOOKUP(A15,DATA!B5:D25,3,0),"")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>IFERROR(VLOOKUP(A16,DATA!B5:D26,3,0),"")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>IFERROR(VLOOKUP(A17,DATA!B6:D27,3,0),"")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>IFERROR(VLOOKUP(A18,DATA!B7:D28,3,0),"")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>IFERROR(VLOOKUP(A19,DATA!B8:D29,3,0),"")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>IFERROR(VLOOKUP(A20,DATA!B7:D28,3,0),"")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83" t="s">
        <v>35</v>
      </c>
      <c r="C21" s="183"/>
      <c r="D21" s="183"/>
      <c r="E21" s="183"/>
      <c r="F21" s="183"/>
      <c r="G21" s="183"/>
      <c r="H21" s="183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6" t="s">
        <v>85</v>
      </c>
      <c r="E26" s="166"/>
      <c r="F26" s="166"/>
      <c r="G26" s="166"/>
      <c r="H26" s="166"/>
      <c r="I26" s="166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6" t="s">
        <v>86</v>
      </c>
      <c r="E27" s="166"/>
      <c r="F27" s="166"/>
      <c r="G27" s="166"/>
      <c r="H27" s="166"/>
      <c r="I27" s="166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5" t="s">
        <v>87</v>
      </c>
      <c r="E28" s="186"/>
      <c r="F28" s="186"/>
      <c r="G28" s="186"/>
      <c r="H28" s="186"/>
      <c r="I28" s="187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67" t="s">
        <v>88</v>
      </c>
      <c r="E29" s="168"/>
      <c r="F29" s="168"/>
      <c r="G29" s="168"/>
      <c r="H29" s="168"/>
      <c r="I29" s="168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67"/>
      <c r="E30" s="168"/>
      <c r="F30" s="168"/>
      <c r="G30" s="168"/>
      <c r="H30" s="168"/>
      <c r="I30" s="168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2" t="s">
        <v>84</v>
      </c>
      <c r="C54" s="182"/>
      <c r="D54" s="182"/>
      <c r="E54" s="182"/>
      <c r="F54" s="182"/>
      <c r="G54" s="182"/>
      <c r="H54" s="182"/>
      <c r="I54" s="182"/>
      <c r="J54" s="182"/>
      <c r="K54" s="18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9" t="s">
        <v>30</v>
      </c>
      <c r="D71" s="159"/>
      <c r="E71" s="159"/>
      <c r="F71" s="159"/>
      <c r="G71" s="159"/>
      <c r="H71" s="159"/>
      <c r="I71" s="159"/>
      <c r="J71" s="159"/>
      <c r="K71" s="20"/>
      <c r="L71" s="30"/>
    </row>
  </sheetData>
  <mergeCells count="42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8:C58"/>
    <mergeCell ref="G58:K58"/>
    <mergeCell ref="B54:K54"/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4" t="str">
        <f>IFERROR(VLOOKUP(A11,DATA!B3:D21,3,0),"")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69" t="str">
        <f>IFERROR(VLOOKUP(A12,DATA!B3:D22,3,0),"")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69" t="str">
        <f>IFERROR(VLOOKUP(A13,DATA!B3:D23,3,0),"")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69" t="str">
        <f>IFERROR(VLOOKUP(A14,DATA!B4:D24,3,0),"")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69" t="str">
        <f>IFERROR(VLOOKUP(A15,DATA!B5:D25,3,0),"")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69" t="str">
        <f>IFERROR(VLOOKUP(A16,DATA!B5:D26,3,0),"")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69" t="str">
        <f>IFERROR(VLOOKUP(A17,DATA!B6:D27,3,0),"")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69" t="str">
        <f>IFERROR(VLOOKUP(A18,DATA!B7:D28,3,0),"")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69" t="str">
        <f>IFERROR(VLOOKUP(A19,DATA!B8:D29,3,0),"")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69" t="str">
        <f>IFERROR(VLOOKUP(A20,DATA!B7:D28,3,0),"")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0" t="s">
        <v>82</v>
      </c>
      <c r="G21" s="190"/>
      <c r="H21" s="190"/>
      <c r="I21" s="190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106</v>
      </c>
      <c r="E26" s="166"/>
      <c r="F26" s="166"/>
      <c r="G26" s="166"/>
      <c r="H26" s="166"/>
      <c r="I26" s="166"/>
      <c r="J26" s="39"/>
      <c r="K26" s="40"/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6" t="s">
        <v>74</v>
      </c>
      <c r="E27" s="166"/>
      <c r="F27" s="166"/>
      <c r="G27" s="166"/>
      <c r="H27" s="166"/>
      <c r="I27" s="166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7" t="s">
        <v>75</v>
      </c>
      <c r="E28" s="168"/>
      <c r="F28" s="168"/>
      <c r="G28" s="168"/>
      <c r="H28" s="168"/>
      <c r="I28" s="16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67"/>
      <c r="E29" s="168"/>
      <c r="F29" s="168"/>
      <c r="G29" s="168"/>
      <c r="H29" s="168"/>
      <c r="I29" s="16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72" t="s">
        <v>9</v>
      </c>
      <c r="D30" s="173"/>
      <c r="E30" s="173"/>
      <c r="F30" s="173"/>
      <c r="G30" s="173"/>
      <c r="H30" s="173"/>
      <c r="I30" s="17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4" t="s">
        <v>17</v>
      </c>
      <c r="E33" s="174"/>
      <c r="F33" s="174"/>
      <c r="G33" s="174"/>
      <c r="H33" s="174"/>
      <c r="I33" s="174"/>
      <c r="J33" s="174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91" t="s">
        <v>76</v>
      </c>
      <c r="E35" s="191"/>
      <c r="F35" s="191"/>
      <c r="G35" s="192"/>
      <c r="H35" s="191"/>
      <c r="I35" s="191"/>
      <c r="J35" s="191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76" t="s">
        <v>98</v>
      </c>
      <c r="E36" s="177"/>
      <c r="F36" s="177"/>
      <c r="G36" s="177"/>
      <c r="H36" s="177"/>
      <c r="I36" s="177"/>
      <c r="J36" s="178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74" t="s">
        <v>11</v>
      </c>
      <c r="E37" s="174"/>
      <c r="F37" s="174"/>
      <c r="G37" s="174"/>
      <c r="H37" s="174"/>
      <c r="I37" s="174"/>
      <c r="J37" s="174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6" t="s">
        <v>21</v>
      </c>
      <c r="E38" s="177"/>
      <c r="F38" s="177"/>
      <c r="G38" s="177"/>
      <c r="H38" s="177"/>
      <c r="I38" s="177"/>
      <c r="J38" s="178"/>
      <c r="K38" s="37"/>
      <c r="L38" s="16"/>
      <c r="M38" s="2"/>
    </row>
    <row r="39" spans="1:13" ht="30.75" customHeight="1" thickBot="1" x14ac:dyDescent="0.45">
      <c r="A39" s="12"/>
      <c r="B39" s="8"/>
      <c r="C39" s="172" t="s">
        <v>12</v>
      </c>
      <c r="D39" s="173"/>
      <c r="E39" s="173"/>
      <c r="F39" s="173"/>
      <c r="G39" s="173"/>
      <c r="H39" s="173"/>
      <c r="I39" s="173"/>
      <c r="J39" s="17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9" t="s">
        <v>30</v>
      </c>
      <c r="D41" s="159"/>
      <c r="E41" s="159"/>
      <c r="F41" s="159"/>
      <c r="G41" s="159"/>
      <c r="H41" s="159"/>
      <c r="I41" s="159"/>
      <c r="J41" s="159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60" t="s">
        <v>15</v>
      </c>
      <c r="C57" s="160"/>
      <c r="D57" s="22"/>
      <c r="E57" s="22"/>
      <c r="F57" s="22"/>
      <c r="G57" s="160" t="s">
        <v>16</v>
      </c>
      <c r="H57" s="160"/>
      <c r="I57" s="160"/>
      <c r="J57" s="160"/>
      <c r="K57" s="160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8" customHeight="1" x14ac:dyDescent="0.4">
      <c r="A59" s="133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9" t="s">
        <v>30</v>
      </c>
      <c r="D70" s="159"/>
      <c r="E70" s="159"/>
      <c r="F70" s="159"/>
      <c r="G70" s="159"/>
      <c r="H70" s="159"/>
      <c r="I70" s="159"/>
      <c r="J70" s="159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topLeftCell="A19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4" t="str">
        <f>IFERROR(VLOOKUP(A11,DATA!B3:D21,3,0),"")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69" t="str">
        <f>IFERROR(VLOOKUP(A12,DATA!B3:D22,3,0),"")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69" t="str">
        <f>IFERROR(VLOOKUP(A13,DATA!B3:D23,3,0),"")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69" t="str">
        <f>IFERROR(VLOOKUP(A14,DATA!B4:D24,3,0),"")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69" t="str">
        <f>IFERROR(VLOOKUP(A15,DATA!B5:D25,3,0),"")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69" t="str">
        <f>IFERROR(VLOOKUP(A16,DATA!B5:D26,3,0),"")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69" t="str">
        <f>IFERROR(VLOOKUP(A17,DATA!B6:D27,3,0),"")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69" t="str">
        <f>IFERROR(VLOOKUP(A18,DATA!B7:D28,3,0),"")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69" t="str">
        <f>IFERROR(VLOOKUP(A19,DATA!B8:D29,3,0),"")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69" t="str">
        <f>IFERROR(VLOOKUP(A20,DATA!B7:D28,3,0),"")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0" t="s">
        <v>92</v>
      </c>
      <c r="G21" s="190"/>
      <c r="H21" s="190"/>
      <c r="I21" s="190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93</v>
      </c>
      <c r="E26" s="166"/>
      <c r="F26" s="166"/>
      <c r="G26" s="166"/>
      <c r="H26" s="166"/>
      <c r="I26" s="166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67"/>
      <c r="E27" s="168"/>
      <c r="F27" s="168"/>
      <c r="G27" s="168"/>
      <c r="H27" s="168"/>
      <c r="I27" s="16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72" t="s">
        <v>9</v>
      </c>
      <c r="D28" s="173"/>
      <c r="E28" s="173"/>
      <c r="F28" s="173"/>
      <c r="G28" s="173"/>
      <c r="H28" s="173"/>
      <c r="I28" s="17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5" t="s">
        <v>6</v>
      </c>
      <c r="E30" s="165"/>
      <c r="F30" s="165"/>
      <c r="G30" s="165"/>
      <c r="H30" s="165"/>
      <c r="I30" s="165"/>
      <c r="J30" s="165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4" t="s">
        <v>17</v>
      </c>
      <c r="E31" s="174"/>
      <c r="F31" s="174"/>
      <c r="G31" s="174"/>
      <c r="H31" s="174"/>
      <c r="I31" s="174"/>
      <c r="J31" s="174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91" t="s">
        <v>76</v>
      </c>
      <c r="E33" s="191"/>
      <c r="F33" s="191"/>
      <c r="G33" s="192"/>
      <c r="H33" s="191"/>
      <c r="I33" s="191"/>
      <c r="J33" s="191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6" t="s">
        <v>98</v>
      </c>
      <c r="E34" s="177"/>
      <c r="F34" s="177"/>
      <c r="G34" s="177"/>
      <c r="H34" s="177"/>
      <c r="I34" s="177"/>
      <c r="J34" s="178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74" t="s">
        <v>11</v>
      </c>
      <c r="E35" s="174"/>
      <c r="F35" s="174"/>
      <c r="G35" s="174"/>
      <c r="H35" s="174"/>
      <c r="I35" s="174"/>
      <c r="J35" s="174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6" t="s">
        <v>21</v>
      </c>
      <c r="E36" s="177"/>
      <c r="F36" s="177"/>
      <c r="G36" s="177"/>
      <c r="H36" s="177"/>
      <c r="I36" s="177"/>
      <c r="J36" s="178"/>
      <c r="K36" s="37"/>
      <c r="L36" s="16"/>
      <c r="M36" s="2"/>
    </row>
    <row r="37" spans="1:13" ht="30.75" customHeight="1" thickBot="1" x14ac:dyDescent="0.45">
      <c r="A37" s="12"/>
      <c r="B37" s="8"/>
      <c r="C37" s="172" t="s">
        <v>12</v>
      </c>
      <c r="D37" s="173"/>
      <c r="E37" s="173"/>
      <c r="F37" s="173"/>
      <c r="G37" s="173"/>
      <c r="H37" s="173"/>
      <c r="I37" s="173"/>
      <c r="J37" s="17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9" t="s">
        <v>30</v>
      </c>
      <c r="D39" s="159"/>
      <c r="E39" s="159"/>
      <c r="F39" s="159"/>
      <c r="G39" s="159"/>
      <c r="H39" s="159"/>
      <c r="I39" s="159"/>
      <c r="J39" s="159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60" t="s">
        <v>15</v>
      </c>
      <c r="C55" s="160"/>
      <c r="D55" s="22"/>
      <c r="E55" s="22"/>
      <c r="F55" s="22"/>
      <c r="G55" s="160" t="s">
        <v>16</v>
      </c>
      <c r="H55" s="160"/>
      <c r="I55" s="160"/>
      <c r="J55" s="160"/>
      <c r="K55" s="160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1" t="s">
        <v>29</v>
      </c>
      <c r="H56" s="162"/>
      <c r="I56" s="162"/>
      <c r="J56" s="162"/>
      <c r="K56" s="162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1" t="s">
        <v>29</v>
      </c>
      <c r="H57" s="162"/>
      <c r="I57" s="162"/>
      <c r="J57" s="162"/>
      <c r="K57" s="162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59" t="s">
        <v>30</v>
      </c>
      <c r="D68" s="159"/>
      <c r="E68" s="159"/>
      <c r="F68" s="159"/>
      <c r="G68" s="159"/>
      <c r="H68" s="159"/>
      <c r="I68" s="159"/>
      <c r="J68" s="159"/>
      <c r="K68" s="20"/>
      <c r="L68" s="30"/>
    </row>
  </sheetData>
  <mergeCells count="38"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69" t="str">
        <f t="shared" ref="F11:F20" si="0">IFERROR(VLOOKUP(A11,الاعضاء,3,0),"")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69" t="str">
        <f t="shared" si="0"/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69" t="str">
        <f t="shared" si="0"/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69" t="str">
        <f t="shared" si="0"/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 t="shared" si="0"/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 t="shared" si="0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 t="shared" si="0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 t="shared" si="0"/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 t="shared" si="0"/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 t="shared" si="0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96</v>
      </c>
      <c r="E26" s="166"/>
      <c r="F26" s="166"/>
      <c r="G26" s="166"/>
      <c r="H26" s="166"/>
      <c r="I26" s="166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6" t="s">
        <v>97</v>
      </c>
      <c r="E27" s="166"/>
      <c r="F27" s="166"/>
      <c r="G27" s="166"/>
      <c r="H27" s="166"/>
      <c r="I27" s="166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9" t="s">
        <v>99</v>
      </c>
      <c r="E28" s="180"/>
      <c r="F28" s="180"/>
      <c r="G28" s="180"/>
      <c r="H28" s="180"/>
      <c r="I28" s="181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8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G65:K65"/>
    <mergeCell ref="G66:K66"/>
    <mergeCell ref="G67:K67"/>
    <mergeCell ref="G68:K68"/>
    <mergeCell ref="C72:J7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2"/>
  <sheetViews>
    <sheetView rightToLeft="1" tabSelected="1" workbookViewId="0">
      <selection activeCell="C21" sqref="C21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x14ac:dyDescent="0.25">
      <c r="B22" s="57"/>
      <c r="C22" s="58"/>
      <c r="D22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2025-01-05T13:10:15Z</dcterms:modified>
</cp:coreProperties>
</file>