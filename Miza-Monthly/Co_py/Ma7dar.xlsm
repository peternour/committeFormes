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697" activeTab="6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<sst xmlns="http://schemas.openxmlformats.org/spreadsheetml/2006/main" count="401" uniqueCount="92">
  <si>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</si>
  <si>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</si>
  <si>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</si>
  <si>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</si>
  <si>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</si>
  <si>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</si>
  <si>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</si>
  <si>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</si>
  <si>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</si>
  <si>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</si>
  <si>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</si>
  <si>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</si>
  <si>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</si>
  <si>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</si>
  <si>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</si>
  <si>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</si>
  <si>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</si>
  <si>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</si>
  <si>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</si>
  <si>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</si>
  <si>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</si>
  <si>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</si>
  <si>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</si>
  <si>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</si>
  <si>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</si>
  <si>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</si>
  <si>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</si>
  <si>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</si>
  <si>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</si>
  <si>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</si>
  <si>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</si>
  <si>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</si>
  <si>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</si>
  <si>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</si>
  <si>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</si>
  <si>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</si>
  <si>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</si>
  <si>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</si>
  <si>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</si>
  <si>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</si>
  <si>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</si>
  <si>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</si>
  <si>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</si>
  <si>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</si>
  <si>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</si>
  <si>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</si>
  <si>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</si>
  <si>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</si>
  <si>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</si>
  <si>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</si>
  <si>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</si>
  <si>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</si>
  <si>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</si>
  <si>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</si>
  <si>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</si>
  <si>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</si>
  <si>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</si>
  <si>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</si>
  <si>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</si>
  <si>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</si>
  <si>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</si>
  <si>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</si>
  <si>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</si>
  <si>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</si>
  <si>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</si>
  <si>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</si>
  <si>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</si>
  <si>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</si>
  <si>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</si>
  <si>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</si>
  <si>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</si>
  <si>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</si>
  <si>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</si>
  <si>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</si>
  <si>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</si>
  <si>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</si>
  <si>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</si>
  <si>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</si>
  <si>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</si>
  <si>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</si>
  <si>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</si>
  <si>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</si>
  <si>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</si>
  <si>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</si>
  <si>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</si>
  <si>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</si>
  <si>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</si>
  <si>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</si>
  <si>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</si>
  <si>
    <t>الجارى رقم 1180001000006309ببنك مصر فرع رمسيس وذلك طبقا لحافظة كروت ميزة المرفقة</t>
  </si>
  <si>
    <t>عماد جميل امين</t>
  </si>
  <si>
    <t>مدير برنامج التمويل متناهي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</si>
</sst>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20" fillId="0" borderId="0" xfId="0" applyFont="1" applyAlignment="1">
      <alignment horizontal="center" vertical="center"/>
    </xf>
  </cellXfs>
  <cellStyles count="1">
    <cellStyle name="Normal" xfId="0" builtinId="0"/>
  </cellStyles>
  <dxfs count="5"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0"/>
    <tableColumn id="3" name="الوظيفة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topLeftCell="A45" zoomScale="90" zoomScaleNormal="100" zoomScaleSheetLayoutView="90" workbookViewId="0">
      <selection activeCell="B54" sqref="B54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53" t="s">
        <v>24</v>
      </c>
      <c r="C8" s="154"/>
      <c r="D8" s="154"/>
      <c r="E8" s="154"/>
      <c r="F8" s="154"/>
      <c r="G8" s="154"/>
      <c r="H8" s="154"/>
      <c r="I8" s="154"/>
      <c r="J8" s="154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0</v>
      </c>
      <c r="D10" s="87" t="s">
        <v>1</v>
      </c>
      <c r="E10" s="67"/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/>
      <c r="B11" s="92" t="str">
        <f>IFERROR(VLOOKUP(A11,Table1[#All],2,0),"")</f>
        <v>عماد جميل امين</v>
      </c>
      <c r="C11" s="92"/>
      <c r="D11" s="92"/>
      <c r="E11" s="93"/>
      <c r="F11" s="151" t="str">
        <f>IFERROR(VLOOKUP(A11,Table1[#All],3,0),"")</f>
        <v>مدير برنامج التمويل متناهي الصغر</v>
      </c>
      <c r="G11" s="151"/>
      <c r="H11" s="151"/>
      <c r="I11" s="151"/>
      <c r="J11" s="151"/>
      <c r="K11" s="94" t="s">
        <v>32</v>
      </c>
      <c r="L11" s="95"/>
    </row>
    <row r="12" spans="1:12" s="91" customFormat="1" ht="28.2" customHeight="1" x14ac:dyDescent="0.4">
      <c r="A12" s="68"/>
      <c r="B12" s="92" t="str">
        <f>IFERROR(VLOOKUP(A12,Table1[#All],2,0),"")</f>
        <v>عماد جميل امين</v>
      </c>
      <c r="C12" s="92"/>
      <c r="D12" s="92"/>
      <c r="E12" s="93"/>
      <c r="F12" s="151" t="str">
        <f>IFERROR(VLOOKUP(A12,Table1[#All],3,0),"")</f>
        <v>مدير برنامج التمويل متناهي الصغر</v>
      </c>
      <c r="G12" s="151"/>
      <c r="H12" s="151"/>
      <c r="I12" s="151"/>
      <c r="J12" s="151"/>
      <c r="K12" s="94" t="s">
        <v>32</v>
      </c>
      <c r="L12" s="95"/>
    </row>
    <row r="13" spans="1:12" s="91" customFormat="1" ht="28.2" customHeight="1" x14ac:dyDescent="0.4">
      <c r="A13" s="68"/>
      <c r="B13" s="92" t="str">
        <f>IFERROR(VLOOKUP(A13,Table1[#All],2,0),"")</f>
        <v>عماد جميل امين</v>
      </c>
      <c r="C13" s="92"/>
      <c r="D13" s="92"/>
      <c r="E13" s="93"/>
      <c r="F13" s="151" t="str">
        <f>IFERROR(VLOOKUP(A13,Table1[#All],3,0),"")</f>
        <v>مدير برنامج التمويل متناهي الصغر</v>
      </c>
      <c r="G13" s="151"/>
      <c r="H13" s="151"/>
      <c r="I13" s="151"/>
      <c r="J13" s="151"/>
      <c r="K13" s="94" t="s">
        <v>32</v>
      </c>
      <c r="L13" s="95"/>
    </row>
    <row r="14" spans="1:12" s="91" customFormat="1" ht="28.2" customHeight="1" x14ac:dyDescent="0.4">
      <c r="A14" s="68"/>
      <c r="B14" s="92" t="str">
        <f>IFERROR(VLOOKUP(A14,Table1[#All],2,0),"")</f>
        <v>عماد جميل امين</v>
      </c>
      <c r="C14" s="92"/>
      <c r="D14" s="92"/>
      <c r="E14" s="93"/>
      <c r="F14" s="151" t="str">
        <f>IFERROR(VLOOKUP(A14,Table1[#All],3,0),"")</f>
        <v>مدير برنامج التمويل متناهي الصغر</v>
      </c>
      <c r="G14" s="151"/>
      <c r="H14" s="151"/>
      <c r="I14" s="151"/>
      <c r="J14" s="151"/>
      <c r="K14" s="94" t="s">
        <v>32</v>
      </c>
      <c r="L14" s="95"/>
    </row>
    <row r="15" spans="1:12" s="91" customFormat="1" ht="28.2" customHeight="1" x14ac:dyDescent="0.4">
      <c r="A15" s="68"/>
      <c r="B15" s="92" t="str">
        <f>IFERROR(VLOOKUP(A15,Table1[#All],2,0),"")</f>
        <v>عماد جميل امين</v>
      </c>
      <c r="C15" s="92"/>
      <c r="D15" s="92"/>
      <c r="E15" s="93"/>
      <c r="F15" s="151" t="str">
        <f>IFERROR(VLOOKUP(A15,Table1[#All],3,0),"")</f>
        <v>مدير برنامج التمويل متناهي الصغر</v>
      </c>
      <c r="G15" s="151"/>
      <c r="H15" s="151"/>
      <c r="I15" s="151"/>
      <c r="J15" s="151"/>
      <c r="K15" s="94" t="s">
        <v>32</v>
      </c>
      <c r="L15" s="95"/>
    </row>
    <row r="16" spans="1:12" s="91" customFormat="1" ht="28.2" customHeight="1" x14ac:dyDescent="0.4">
      <c r="A16" s="68"/>
      <c r="B16" s="92" t="str">
        <f>IFERROR(VLOOKUP(A16,Table1[#All],2,0),"")</f>
        <v>عماد جميل امين</v>
      </c>
      <c r="C16" s="92"/>
      <c r="D16" s="92"/>
      <c r="E16" s="93"/>
      <c r="F16" s="151" t="str">
        <f>IFERROR(VLOOKUP(A16,Table1[#All],3,0),"")</f>
        <v>مدير برنامج التمويل متناهي الصغر</v>
      </c>
      <c r="G16" s="151"/>
      <c r="H16" s="151"/>
      <c r="I16" s="151"/>
      <c r="J16" s="151"/>
      <c r="K16" s="94" t="s">
        <v>32</v>
      </c>
      <c r="L16" s="95"/>
    </row>
    <row r="17" spans="1:13" s="91" customFormat="1" ht="28.2" customHeight="1" x14ac:dyDescent="0.4">
      <c r="A17" s="68"/>
      <c r="B17" s="92" t="str">
        <f>IFERROR(VLOOKUP(A17,Table1[#All],2,0),"")</f>
        <v>عماد جميل امين</v>
      </c>
      <c r="C17" s="92"/>
      <c r="D17" s="92"/>
      <c r="E17" s="93"/>
      <c r="F17" s="151" t="str">
        <f>IFERROR(VLOOKUP(A17,Table1[#All],3,0),"")</f>
        <v>مدير برنامج التمويل متناهي الصغر</v>
      </c>
      <c r="G17" s="151"/>
      <c r="H17" s="151"/>
      <c r="I17" s="151"/>
      <c r="J17" s="151"/>
      <c r="K17" s="94" t="s">
        <v>32</v>
      </c>
      <c r="L17" s="95"/>
    </row>
    <row r="18" spans="1:13" s="91" customFormat="1" ht="28.2" customHeight="1" x14ac:dyDescent="0.4">
      <c r="A18" s="68"/>
      <c r="B18" s="92" t="str">
        <f>IFERROR(VLOOKUP(A18,Table1[#All],2,0),"")</f>
        <v>عماد جميل امين</v>
      </c>
      <c r="C18" s="92"/>
      <c r="D18" s="92"/>
      <c r="E18" s="93"/>
      <c r="F18" s="151" t="str">
        <f>IFERROR(VLOOKUP(A18,Table1[#All],3,0),"")</f>
        <v>مدير برنامج التمويل متناهي الصغر</v>
      </c>
      <c r="G18" s="151"/>
      <c r="H18" s="151"/>
      <c r="I18" s="151"/>
      <c r="J18" s="151"/>
      <c r="K18" s="94" t="s">
        <v>32</v>
      </c>
      <c r="L18" s="95"/>
    </row>
    <row r="19" spans="1:13" s="91" customFormat="1" ht="28.2" customHeight="1" x14ac:dyDescent="0.4">
      <c r="A19" s="68"/>
      <c r="B19" s="92" t="str">
        <f>IFERROR(VLOOKUP(A19,Table1[#All],2,0),"")</f>
        <v>عماد جميل امين</v>
      </c>
      <c r="C19" s="92"/>
      <c r="D19" s="92"/>
      <c r="E19" s="93"/>
      <c r="F19" s="151" t="str">
        <f>IFERROR(VLOOKUP(A19,Table1[#All],3,0),"")</f>
        <v>مدير برنامج التمويل متناهي الصغر</v>
      </c>
      <c r="G19" s="151"/>
      <c r="H19" s="151"/>
      <c r="I19" s="151"/>
      <c r="J19" s="151"/>
      <c r="K19" s="94" t="s">
        <v>32</v>
      </c>
      <c r="L19" s="95"/>
    </row>
    <row r="20" spans="1:13" ht="28.2" customHeight="1" x14ac:dyDescent="0.4">
      <c r="A20" s="69"/>
      <c r="B20" s="92" t="str">
        <f>IFERROR(VLOOKUP(A20,Table1[#All],2,0),"")</f>
        <v>عماد جميل امين</v>
      </c>
      <c r="C20" s="84"/>
      <c r="D20" s="84"/>
      <c r="E20" s="84"/>
      <c r="F20" s="151" t="str">
        <f>IFERROR(VLOOKUP(A20,Table1[#All],3,0),"")</f>
        <v>مدير برنامج التمويل متناهي الصغر</v>
      </c>
      <c r="G20" s="151"/>
      <c r="H20" s="151"/>
      <c r="I20" s="151"/>
      <c r="J20" s="151"/>
      <c r="K20" s="94" t="s">
        <v>32</v>
      </c>
      <c r="L20" s="97"/>
    </row>
    <row r="21" spans="1:13" ht="24" customHeight="1" x14ac:dyDescent="0.4">
      <c r="A21" s="83"/>
      <c r="B21" s="98" t="s">
        <v>41</v>
      </c>
      <c r="C21" s="98"/>
      <c r="D21" s="98"/>
      <c r="E21" s="98"/>
      <c r="F21" s="98"/>
      <c r="G21" s="98"/>
      <c r="H21" s="98"/>
      <c r="I21" s="98" t="s">
        <v>42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55</v>
      </c>
      <c r="C22" s="98"/>
      <c r="D22" s="98"/>
      <c r="E22" s="98"/>
      <c r="F22" s="70"/>
      <c r="G22" s="102" t="s">
        <v>2</v>
      </c>
      <c r="H22" s="103"/>
      <c r="I22" s="71"/>
      <c r="J22" s="156" t="str">
        <f>NoToTxt(I22,"جنيها","قرش")&amp;" لاغير"</f>
        <v>صفر لاغير</v>
      </c>
      <c r="K22" s="156"/>
      <c r="L22" s="157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50" t="s">
        <v>6</v>
      </c>
      <c r="E25" s="150"/>
      <c r="F25" s="150"/>
      <c r="G25" s="150"/>
      <c r="H25" s="150"/>
      <c r="I25" s="150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55" t="s">
        <v>46</v>
      </c>
      <c r="E26" s="155"/>
      <c r="F26" s="155"/>
      <c r="G26" s="155"/>
      <c r="H26" s="155"/>
      <c r="I26" s="155"/>
      <c r="J26" s="74"/>
      <c r="K26" s="76"/>
      <c r="L26" s="100"/>
      <c r="M26" s="101"/>
    </row>
    <row r="27" spans="1:13" ht="28.95" customHeight="1" x14ac:dyDescent="0.4">
      <c r="A27" s="83"/>
      <c r="B27" s="104"/>
      <c r="C27" s="109">
        <v>2</v>
      </c>
      <c r="D27" s="155" t="s">
        <v>47</v>
      </c>
      <c r="E27" s="155"/>
      <c r="F27" s="155"/>
      <c r="G27" s="155"/>
      <c r="H27" s="155"/>
      <c r="I27" s="155"/>
      <c r="J27" s="74"/>
      <c r="K27" s="76"/>
      <c r="L27" s="100"/>
      <c r="M27" s="101"/>
    </row>
    <row r="28" spans="1:13" ht="30.75" hidden="1" customHeight="1" x14ac:dyDescent="0.4">
      <c r="A28" s="83"/>
      <c r="B28" s="104"/>
      <c r="C28" s="109"/>
      <c r="D28" s="148"/>
      <c r="E28" s="149"/>
      <c r="F28" s="149"/>
      <c r="G28" s="149"/>
      <c r="H28" s="149"/>
      <c r="I28" s="149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8"/>
      <c r="E29" s="149"/>
      <c r="F29" s="149"/>
      <c r="G29" s="149"/>
      <c r="H29" s="149"/>
      <c r="I29" s="149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41" t="s">
        <v>9</v>
      </c>
      <c r="D30" s="142"/>
      <c r="E30" s="142"/>
      <c r="F30" s="142"/>
      <c r="G30" s="142"/>
      <c r="H30" s="142"/>
      <c r="I30" s="142"/>
      <c r="J30" s="110">
        <f>SUM(J26:J27)</f>
        <v>0</v>
      </c>
      <c r="K30" s="110">
        <f>SUM(K26:K27)</f>
        <v>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50" t="s">
        <v>6</v>
      </c>
      <c r="E32" s="150"/>
      <c r="F32" s="150"/>
      <c r="G32" s="150"/>
      <c r="H32" s="150"/>
      <c r="I32" s="150"/>
      <c r="J32" s="150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47" t="s">
        <v>17</v>
      </c>
      <c r="E33" s="147"/>
      <c r="F33" s="147"/>
      <c r="G33" s="147"/>
      <c r="H33" s="147"/>
      <c r="I33" s="147"/>
      <c r="J33" s="147"/>
      <c r="K33" s="76"/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47" t="s">
        <v>19</v>
      </c>
      <c r="E35" s="147"/>
      <c r="F35" s="147"/>
      <c r="G35" s="152"/>
      <c r="H35" s="147"/>
      <c r="I35" s="147"/>
      <c r="J35" s="147"/>
      <c r="K35" s="76"/>
      <c r="L35" s="100"/>
      <c r="M35" s="101"/>
    </row>
    <row r="36" spans="1:13" ht="30.75" customHeight="1" x14ac:dyDescent="0.4">
      <c r="A36" s="83"/>
      <c r="B36" s="104"/>
      <c r="C36" s="114">
        <v>4</v>
      </c>
      <c r="D36" s="138" t="s">
        <v>43</v>
      </c>
      <c r="E36" s="139"/>
      <c r="F36" s="139"/>
      <c r="G36" s="139"/>
      <c r="H36" s="139"/>
      <c r="I36" s="139"/>
      <c r="J36" s="140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47" t="s">
        <v>11</v>
      </c>
      <c r="E37" s="147"/>
      <c r="F37" s="147"/>
      <c r="G37" s="147"/>
      <c r="H37" s="147"/>
      <c r="I37" s="147"/>
      <c r="J37" s="147"/>
      <c r="K37" s="76"/>
      <c r="L37" s="100"/>
      <c r="M37" s="101"/>
    </row>
    <row r="38" spans="1:13" ht="30" customHeight="1" x14ac:dyDescent="0.4">
      <c r="A38" s="83"/>
      <c r="B38" s="104"/>
      <c r="C38" s="114">
        <v>6</v>
      </c>
      <c r="D38" s="138" t="s">
        <v>44</v>
      </c>
      <c r="E38" s="139"/>
      <c r="F38" s="139"/>
      <c r="G38" s="139"/>
      <c r="H38" s="139"/>
      <c r="I38" s="139"/>
      <c r="J38" s="140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38" t="s">
        <v>21</v>
      </c>
      <c r="E39" s="139"/>
      <c r="F39" s="139"/>
      <c r="G39" s="139"/>
      <c r="H39" s="139"/>
      <c r="I39" s="139"/>
      <c r="J39" s="140"/>
      <c r="K39" s="78"/>
      <c r="L39" s="100"/>
      <c r="M39" s="101"/>
    </row>
    <row r="40" spans="1:13" ht="30.75" customHeight="1" thickBot="1" x14ac:dyDescent="0.45">
      <c r="A40" s="83"/>
      <c r="B40" s="104"/>
      <c r="C40" s="141" t="s">
        <v>12</v>
      </c>
      <c r="D40" s="142"/>
      <c r="E40" s="142"/>
      <c r="F40" s="142"/>
      <c r="G40" s="142"/>
      <c r="H40" s="142"/>
      <c r="I40" s="142"/>
      <c r="J40" s="142"/>
      <c r="K40" s="115">
        <f>SUM(K33:K38)-K39</f>
        <v>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43" t="s">
        <v>30</v>
      </c>
      <c r="D42" s="143"/>
      <c r="E42" s="143"/>
      <c r="F42" s="143"/>
      <c r="G42" s="143"/>
      <c r="H42" s="143"/>
      <c r="I42" s="143"/>
      <c r="J42" s="143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64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59</v>
      </c>
      <c r="C54" s="124"/>
      <c r="D54" s="124"/>
      <c r="E54" s="98"/>
      <c r="F54" s="98" t="s">
        <v>61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46" t="s">
        <v>15</v>
      </c>
      <c r="C58" s="146"/>
      <c r="D58" s="98"/>
      <c r="E58" s="98"/>
      <c r="F58" s="98"/>
      <c r="G58" s="146" t="s">
        <v>16</v>
      </c>
      <c r="H58" s="146"/>
      <c r="I58" s="146"/>
      <c r="J58" s="146"/>
      <c r="K58" s="146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>الاستاذ عماد جميل امين</v>
      </c>
      <c r="C59" s="98"/>
      <c r="D59" s="98"/>
      <c r="E59" s="98"/>
      <c r="F59" s="98"/>
      <c r="G59" s="144" t="s">
        <v>29</v>
      </c>
      <c r="H59" s="145"/>
      <c r="I59" s="145"/>
      <c r="J59" s="145"/>
      <c r="K59" s="145"/>
      <c r="L59" s="85"/>
    </row>
    <row r="60" spans="1:12" ht="28.95" customHeight="1" x14ac:dyDescent="0.4">
      <c r="A60" s="132">
        <v>2</v>
      </c>
      <c r="B60" s="98" t="str">
        <f t="shared" si="0"/>
        <v>الاستاذ عماد جميل امين</v>
      </c>
      <c r="C60" s="98"/>
      <c r="D60" s="98"/>
      <c r="E60" s="98"/>
      <c r="F60" s="98"/>
      <c r="G60" s="144" t="s">
        <v>29</v>
      </c>
      <c r="H60" s="145"/>
      <c r="I60" s="145"/>
      <c r="J60" s="145"/>
      <c r="K60" s="145"/>
      <c r="L60" s="85"/>
    </row>
    <row r="61" spans="1:12" ht="28.95" customHeight="1" x14ac:dyDescent="0.4">
      <c r="A61" s="132">
        <v>3</v>
      </c>
      <c r="B61" s="98" t="str">
        <f t="shared" si="0"/>
        <v>الاستاذ عماد جميل امين</v>
      </c>
      <c r="C61" s="98"/>
      <c r="D61" s="98"/>
      <c r="E61" s="98"/>
      <c r="F61" s="98"/>
      <c r="G61" s="144" t="s">
        <v>29</v>
      </c>
      <c r="H61" s="145"/>
      <c r="I61" s="145"/>
      <c r="J61" s="145"/>
      <c r="K61" s="145"/>
      <c r="L61" s="85"/>
    </row>
    <row r="62" spans="1:12" ht="28.95" customHeight="1" x14ac:dyDescent="0.4">
      <c r="A62" s="132">
        <v>4</v>
      </c>
      <c r="B62" s="98" t="str">
        <f t="shared" si="0"/>
        <v>الاستاذ عماد جميل امين</v>
      </c>
      <c r="C62" s="98"/>
      <c r="D62" s="98"/>
      <c r="E62" s="98"/>
      <c r="F62" s="98"/>
      <c r="G62" s="144" t="s">
        <v>29</v>
      </c>
      <c r="H62" s="145"/>
      <c r="I62" s="145"/>
      <c r="J62" s="145"/>
      <c r="K62" s="145"/>
      <c r="L62" s="85"/>
    </row>
    <row r="63" spans="1:12" ht="28.95" customHeight="1" x14ac:dyDescent="0.4">
      <c r="A63" s="132">
        <v>5</v>
      </c>
      <c r="B63" s="98" t="str">
        <f t="shared" si="0"/>
        <v>الاستاذ عماد جميل امين</v>
      </c>
      <c r="C63" s="98"/>
      <c r="D63" s="98"/>
      <c r="E63" s="98"/>
      <c r="F63" s="98"/>
      <c r="G63" s="144" t="s">
        <v>29</v>
      </c>
      <c r="H63" s="145"/>
      <c r="I63" s="145"/>
      <c r="J63" s="145"/>
      <c r="K63" s="145"/>
      <c r="L63" s="85"/>
    </row>
    <row r="64" spans="1:12" ht="28.95" customHeight="1" x14ac:dyDescent="0.4">
      <c r="A64" s="132">
        <v>6</v>
      </c>
      <c r="B64" s="98" t="str">
        <f t="shared" si="0"/>
        <v>الاستاذ عماد جميل امين</v>
      </c>
      <c r="C64" s="98"/>
      <c r="D64" s="98"/>
      <c r="E64" s="98"/>
      <c r="F64" s="98"/>
      <c r="G64" s="144" t="s">
        <v>29</v>
      </c>
      <c r="H64" s="145"/>
      <c r="I64" s="145"/>
      <c r="J64" s="145"/>
      <c r="K64" s="145"/>
      <c r="L64" s="85"/>
    </row>
    <row r="65" spans="1:12" ht="28.95" customHeight="1" x14ac:dyDescent="0.4">
      <c r="A65" s="132">
        <v>7</v>
      </c>
      <c r="B65" s="98" t="str">
        <f t="shared" si="0"/>
        <v>الاستاذ عماد جميل امين</v>
      </c>
      <c r="C65" s="98"/>
      <c r="D65" s="98"/>
      <c r="E65" s="98"/>
      <c r="F65" s="98"/>
      <c r="G65" s="144" t="s">
        <v>29</v>
      </c>
      <c r="H65" s="145"/>
      <c r="I65" s="145"/>
      <c r="J65" s="145"/>
      <c r="K65" s="145"/>
      <c r="L65" s="85"/>
    </row>
    <row r="66" spans="1:12" ht="28.95" customHeight="1" x14ac:dyDescent="0.4">
      <c r="A66" s="132">
        <v>8</v>
      </c>
      <c r="B66" s="98" t="str">
        <f t="shared" si="0"/>
        <v>الاستاذ عماد جميل امين</v>
      </c>
      <c r="C66" s="98"/>
      <c r="D66" s="98"/>
      <c r="E66" s="98"/>
      <c r="F66" s="98"/>
      <c r="G66" s="144" t="s">
        <v>29</v>
      </c>
      <c r="H66" s="145"/>
      <c r="I66" s="145"/>
      <c r="J66" s="145"/>
      <c r="K66" s="145"/>
      <c r="L66" s="85"/>
    </row>
    <row r="67" spans="1:12" ht="28.95" customHeight="1" x14ac:dyDescent="0.4">
      <c r="A67" s="132">
        <v>9</v>
      </c>
      <c r="B67" s="98" t="str">
        <f t="shared" si="0"/>
        <v>الاستاذ عماد جميل امين</v>
      </c>
      <c r="C67" s="98"/>
      <c r="D67" s="98"/>
      <c r="E67" s="98"/>
      <c r="F67" s="98"/>
      <c r="G67" s="144" t="s">
        <v>29</v>
      </c>
      <c r="H67" s="145"/>
      <c r="I67" s="145"/>
      <c r="J67" s="145"/>
      <c r="K67" s="145"/>
      <c r="L67" s="85"/>
    </row>
    <row r="68" spans="1:12" ht="28.95" customHeight="1" x14ac:dyDescent="0.4">
      <c r="A68" s="132">
        <v>10</v>
      </c>
      <c r="B68" s="98" t="str">
        <f t="shared" si="0"/>
        <v>الاستاذ عماد جميل امين</v>
      </c>
      <c r="C68" s="84"/>
      <c r="D68" s="84"/>
      <c r="E68" s="84"/>
      <c r="F68" s="84"/>
      <c r="G68" s="144" t="s">
        <v>29</v>
      </c>
      <c r="H68" s="145"/>
      <c r="I68" s="145"/>
      <c r="J68" s="145"/>
      <c r="K68" s="145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43" t="s">
        <v>30</v>
      </c>
      <c r="D70" s="143"/>
      <c r="E70" s="143"/>
      <c r="F70" s="143"/>
      <c r="G70" s="143"/>
      <c r="H70" s="143"/>
      <c r="I70" s="143"/>
      <c r="J70" s="143"/>
      <c r="K70" s="120"/>
      <c r="L70" s="128"/>
    </row>
  </sheetData>
  <sheetProtection selectLockedCells="1"/>
  <mergeCells count="40"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/>
      <c r="B11" s="6" t="str">
        <f>IFERROR(VLOOKUP(A11,Table1[#All],2,0),"")</f>
        <v>عماد جميل امين</v>
      </c>
      <c r="C11" s="6"/>
      <c r="D11" s="6"/>
      <c r="E11" s="7"/>
      <c r="F11" s="168" t="str">
        <f t="shared" ref="F11:F12" si="0">IFERROR(VLOOKUP(A11,الاعضاء,3,0),"")</f>
        <v>مدير برنامج التمويل متناهي الصغر</v>
      </c>
      <c r="G11" s="168"/>
      <c r="H11" s="168"/>
      <c r="I11" s="168"/>
      <c r="J11" s="168"/>
      <c r="K11" s="50" t="s">
        <v>32</v>
      </c>
      <c r="L11" s="15"/>
    </row>
    <row r="12" spans="1:14" s="1" customFormat="1" ht="28.2" customHeight="1" x14ac:dyDescent="0.4">
      <c r="A12" s="68"/>
      <c r="B12" s="6" t="str">
        <f>IFERROR(VLOOKUP(A12,Table1[#All],2,0),"")</f>
        <v>عماد جميل امين</v>
      </c>
      <c r="C12" s="6"/>
      <c r="D12" s="6"/>
      <c r="E12" s="7"/>
      <c r="F12" s="168" t="str">
        <f t="shared" si="0"/>
        <v>مدير برنامج التمويل متناهي الصغر</v>
      </c>
      <c r="G12" s="168"/>
      <c r="H12" s="168"/>
      <c r="I12" s="168"/>
      <c r="J12" s="168"/>
      <c r="K12" s="50" t="s">
        <v>32</v>
      </c>
      <c r="L12" s="15"/>
    </row>
    <row r="13" spans="1:14" s="1" customFormat="1" ht="28.2" customHeight="1" x14ac:dyDescent="0.4">
      <c r="A13" s="68"/>
      <c r="B13" s="6" t="str">
        <f>IFERROR(VLOOKUP(A13,Table1[#All],2,0),"")</f>
        <v>عماد جميل امين</v>
      </c>
      <c r="C13" s="6"/>
      <c r="D13" s="6"/>
      <c r="E13" s="7"/>
      <c r="F13" s="168" t="str">
        <f t="shared" ref="F13:F20" si="1">IFERROR(VLOOKUP(A13,الاعضاء,3,0),"")</f>
        <v>مدير برنامج التمويل متناهي الصغر</v>
      </c>
      <c r="G13" s="168"/>
      <c r="H13" s="168"/>
      <c r="I13" s="168"/>
      <c r="J13" s="168"/>
      <c r="K13" s="50" t="s">
        <v>32</v>
      </c>
      <c r="L13" s="15"/>
    </row>
    <row r="14" spans="1:14" s="1" customFormat="1" ht="28.2" customHeight="1" x14ac:dyDescent="0.4">
      <c r="A14" s="68"/>
      <c r="B14" s="6" t="str">
        <f>IFERROR(VLOOKUP(A14,Table1[#All],2,0),"")</f>
        <v>عماد جميل امين</v>
      </c>
      <c r="C14" s="6"/>
      <c r="D14" s="6"/>
      <c r="E14" s="7"/>
      <c r="F14" s="168" t="str">
        <f t="shared" si="1"/>
        <v>مدير برنامج التمويل متناهي الصغر</v>
      </c>
      <c r="G14" s="168"/>
      <c r="H14" s="168"/>
      <c r="I14" s="168"/>
      <c r="J14" s="168"/>
      <c r="K14" s="50" t="s">
        <v>32</v>
      </c>
      <c r="L14" s="15"/>
    </row>
    <row r="15" spans="1:14" s="1" customFormat="1" ht="28.2" customHeight="1" x14ac:dyDescent="0.4">
      <c r="A15" s="68"/>
      <c r="B15" s="6" t="str">
        <f>IFERROR(VLOOKUP(A15,Table1[#All],2,0),"")</f>
        <v>عماد جميل امين</v>
      </c>
      <c r="C15" s="6"/>
      <c r="D15" s="6"/>
      <c r="E15" s="7"/>
      <c r="F15" s="168" t="str">
        <f t="shared" si="1"/>
        <v>مدير برنامج التمويل متناهي الصغر</v>
      </c>
      <c r="G15" s="168"/>
      <c r="H15" s="168"/>
      <c r="I15" s="168"/>
      <c r="J15" s="168"/>
      <c r="K15" s="50" t="s">
        <v>32</v>
      </c>
      <c r="L15" s="15"/>
    </row>
    <row r="16" spans="1:14" s="1" customFormat="1" ht="28.2" customHeight="1" x14ac:dyDescent="0.4">
      <c r="A16" s="68"/>
      <c r="B16" s="6" t="str">
        <f>IFERROR(VLOOKUP(A16,Table1[#All],2,0),"")</f>
        <v>عماد جميل امين</v>
      </c>
      <c r="C16" s="6"/>
      <c r="D16" s="6"/>
      <c r="E16" s="7"/>
      <c r="F16" s="168" t="str">
        <f t="shared" si="1"/>
        <v>مدير برنامج التمويل متناهي الصغر</v>
      </c>
      <c r="G16" s="168"/>
      <c r="H16" s="168"/>
      <c r="I16" s="168"/>
      <c r="J16" s="168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>عماد جميل امين</v>
      </c>
      <c r="C17" s="6"/>
      <c r="D17" s="6"/>
      <c r="E17" s="7"/>
      <c r="F17" s="168" t="str">
        <f t="shared" si="1"/>
        <v>مدير برنامج التمويل متناهي الصغر</v>
      </c>
      <c r="G17" s="168"/>
      <c r="H17" s="168"/>
      <c r="I17" s="168"/>
      <c r="J17" s="168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>عماد جميل امين</v>
      </c>
      <c r="C18" s="6"/>
      <c r="D18" s="6"/>
      <c r="E18" s="7"/>
      <c r="F18" s="168" t="str">
        <f t="shared" ref="F18" si="2">IFERROR(VLOOKUP(A18,الاعضاء,3,0),"")</f>
        <v>مدير برنامج التمويل متناهي الصغر</v>
      </c>
      <c r="G18" s="168"/>
      <c r="H18" s="168"/>
      <c r="I18" s="168"/>
      <c r="J18" s="168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>عماد جميل امين</v>
      </c>
      <c r="C19" s="6"/>
      <c r="D19" s="6"/>
      <c r="E19" s="7"/>
      <c r="F19" s="168" t="str">
        <f t="shared" ref="F19" si="3">IFERROR(VLOOKUP(A19,الاعضاء,3,0),"")</f>
        <v>مدير برنامج التمويل متناهي الصغر</v>
      </c>
      <c r="G19" s="168"/>
      <c r="H19" s="168"/>
      <c r="I19" s="168"/>
      <c r="J19" s="168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>عماد جميل امين</v>
      </c>
      <c r="C20" s="6"/>
      <c r="D20" s="6"/>
      <c r="E20" s="7"/>
      <c r="F20" s="168" t="str">
        <f t="shared" si="1"/>
        <v>مدير برنامج التمويل متناهي الصغر</v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1"/>
      <c r="G22" s="63" t="s">
        <v>2</v>
      </c>
      <c r="H22" s="62"/>
      <c r="I22" s="71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69</v>
      </c>
      <c r="E26" s="165"/>
      <c r="F26" s="165"/>
      <c r="G26" s="165"/>
      <c r="H26" s="165"/>
      <c r="I26" s="165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70</v>
      </c>
      <c r="E27" s="165"/>
      <c r="F27" s="165"/>
      <c r="G27" s="165"/>
      <c r="H27" s="165"/>
      <c r="I27" s="165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80</v>
      </c>
      <c r="E28" s="179"/>
      <c r="F28" s="179"/>
      <c r="G28" s="179"/>
      <c r="H28" s="179"/>
      <c r="I28" s="180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78</v>
      </c>
      <c r="E37" s="176"/>
      <c r="F37" s="176"/>
      <c r="G37" s="176"/>
      <c r="H37" s="176"/>
      <c r="I37" s="176"/>
      <c r="J37" s="177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8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59</v>
      </c>
      <c r="C54" s="35"/>
      <c r="D54" s="35"/>
      <c r="E54" s="22"/>
      <c r="F54" s="22" t="s">
        <v>61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59" t="s">
        <v>15</v>
      </c>
      <c r="C58" s="159"/>
      <c r="D58" s="22"/>
      <c r="E58" s="22"/>
      <c r="F58" s="22"/>
      <c r="G58" s="159" t="s">
        <v>16</v>
      </c>
      <c r="H58" s="159"/>
      <c r="I58" s="159"/>
      <c r="J58" s="159"/>
      <c r="K58" s="159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>الاستاذ عماد جميل امين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4"/>
        <v>الاستاذ عماد جميل امين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4"/>
        <v>الاستاذ عماد جميل امين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4"/>
        <v>الاستاذ عماد جميل امين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4"/>
        <v>الاستاذ عماد جميل امين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4"/>
        <v>الاستاذ عماد جميل امين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4"/>
        <v>الاستاذ عماد جميل امين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4"/>
        <v>الاستاذ عماد جميل امين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4"/>
        <v>الاستاذ عماد جميل امين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customHeight="1" x14ac:dyDescent="0.4">
      <c r="A68" s="132">
        <v>10</v>
      </c>
      <c r="B68" s="22" t="str">
        <f t="shared" si="4"/>
        <v>الاستاذ عماد جميل امين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8" t="s">
        <v>30</v>
      </c>
      <c r="D72" s="158"/>
      <c r="E72" s="158"/>
      <c r="F72" s="158"/>
      <c r="G72" s="158"/>
      <c r="H72" s="158"/>
      <c r="I72" s="158"/>
      <c r="J72" s="158"/>
      <c r="K72" s="20"/>
      <c r="L72" s="30"/>
    </row>
  </sheetData>
  <sheetProtection selectLockedCells="1"/>
  <mergeCells count="41"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topLeftCell="A43" zoomScale="90" zoomScaleNormal="100" zoomScaleSheetLayoutView="90" workbookViewId="0">
      <selection activeCell="B55" sqref="B55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>عماد جميل امين</v>
      </c>
      <c r="C11" s="6"/>
      <c r="D11" s="6"/>
      <c r="E11" s="7"/>
      <c r="F11" s="183" t="str">
        <f>IFERROR(VLOOKUP(A11,DATA!B3:D13,3,0),"")</f>
        <v>مدير برنامج التمويل متناهي الصغر</v>
      </c>
      <c r="G11" s="168"/>
      <c r="H11" s="168"/>
      <c r="I11" s="168"/>
      <c r="J11" s="168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>عماد جميل امين</v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>عماد جميل امين</v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>عماد جميل امين</v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>عماد جميل امين</v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>عماد جميل امين</v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>عماد جميل امين</v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>عماد جميل امين</v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>عماد جميل امين</v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>عماد جميل امين</v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4">
      <c r="A21" s="12"/>
      <c r="B21" s="182" t="s">
        <v>35</v>
      </c>
      <c r="C21" s="182"/>
      <c r="D21" s="182"/>
      <c r="E21" s="182"/>
      <c r="F21" s="182"/>
      <c r="G21" s="182"/>
      <c r="H21" s="182"/>
      <c r="I21" s="55" t="s">
        <v>45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0"/>
      <c r="G22" s="63" t="s">
        <v>2</v>
      </c>
      <c r="H22" s="62"/>
      <c r="I22" s="71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5" t="s">
        <v>65</v>
      </c>
      <c r="E26" s="165"/>
      <c r="F26" s="165"/>
      <c r="G26" s="165"/>
      <c r="H26" s="165"/>
      <c r="I26" s="165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5" t="s">
        <v>66</v>
      </c>
      <c r="E27" s="165"/>
      <c r="F27" s="165"/>
      <c r="G27" s="165"/>
      <c r="H27" s="165"/>
      <c r="I27" s="165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4" t="s">
        <v>67</v>
      </c>
      <c r="E28" s="185"/>
      <c r="F28" s="185"/>
      <c r="G28" s="185"/>
      <c r="H28" s="185"/>
      <c r="I28" s="186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66" t="s">
        <v>68</v>
      </c>
      <c r="E29" s="167"/>
      <c r="F29" s="167"/>
      <c r="G29" s="167"/>
      <c r="H29" s="167"/>
      <c r="I29" s="167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66"/>
      <c r="E30" s="167"/>
      <c r="F30" s="167"/>
      <c r="G30" s="167"/>
      <c r="H30" s="167"/>
      <c r="I30" s="167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78</v>
      </c>
      <c r="E37" s="176"/>
      <c r="F37" s="176"/>
      <c r="G37" s="176"/>
      <c r="H37" s="176"/>
      <c r="I37" s="176"/>
      <c r="J37" s="177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8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1" t="s">
        <v>89</v>
      </c>
      <c r="C54" s="181"/>
      <c r="D54" s="181"/>
      <c r="E54" s="181"/>
      <c r="F54" s="181"/>
      <c r="G54" s="181"/>
      <c r="H54" s="181"/>
      <c r="I54" s="181"/>
      <c r="J54" s="181"/>
      <c r="K54" s="181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59" t="s">
        <v>15</v>
      </c>
      <c r="C58" s="159"/>
      <c r="D58" s="22"/>
      <c r="E58" s="22"/>
      <c r="F58" s="22"/>
      <c r="G58" s="159" t="s">
        <v>16</v>
      </c>
      <c r="H58" s="159"/>
      <c r="I58" s="159"/>
      <c r="J58" s="159"/>
      <c r="K58" s="159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>الاستاذ عماد جميل امين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0"/>
        <v>الاستاذ عماد جميل امين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0"/>
        <v>الاستاذ عماد جميل امين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0"/>
        <v>الاستاذ عماد جميل امين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0"/>
        <v>الاستاذ عماد جميل امين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0"/>
        <v>الاستاذ عماد جميل امين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0"/>
        <v>الاستاذ عماد جميل امين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0"/>
        <v>الاستاذ عماد جميل امين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0"/>
        <v>الاستاذ عماد جميل امين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95" customHeight="1" x14ac:dyDescent="0.4">
      <c r="A68" s="132">
        <v>10</v>
      </c>
      <c r="B68" s="22" t="str">
        <f t="shared" si="0"/>
        <v>الاستاذ عماد جميل امين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mergeCells count="42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8:C58"/>
    <mergeCell ref="G58:K58"/>
    <mergeCell ref="B54:K54"/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>عماد جميل امين</v>
      </c>
      <c r="C11" s="6"/>
      <c r="D11" s="6"/>
      <c r="E11" s="7"/>
      <c r="F11" s="183" t="str">
        <f>IFERROR(VLOOKUP(A11,DATA!B3:D13,3,0),"")</f>
        <v>مدير برنامج التمويل متناهي الصغر</v>
      </c>
      <c r="G11" s="168"/>
      <c r="H11" s="168"/>
      <c r="I11" s="168"/>
      <c r="J11" s="168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>عماد جميل امين</v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>عماد جميل امين</v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>عماد جميل امين</v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>عماد جميل امين</v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>عماد جميل امين</v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>عماد جميل امين</v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>عماد جميل امين</v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>عماد جميل امين</v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>عماد جميل امين</v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89" t="s">
        <v>63</v>
      </c>
      <c r="G21" s="189"/>
      <c r="H21" s="189"/>
      <c r="I21" s="189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55</v>
      </c>
      <c r="C22" s="22"/>
      <c r="D22" s="22"/>
      <c r="E22" s="22"/>
      <c r="F22" s="65"/>
      <c r="G22" s="63" t="s">
        <v>2</v>
      </c>
      <c r="H22" s="62"/>
      <c r="I22" s="64"/>
      <c r="J22" s="187" t="str">
        <f>NoToTxt(I22,"جنيها","قرش")&amp;" لاغير"</f>
        <v>صفر لاغير</v>
      </c>
      <c r="K22" s="187"/>
      <c r="L22" s="188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86</v>
      </c>
      <c r="E26" s="165"/>
      <c r="F26" s="165"/>
      <c r="G26" s="165"/>
      <c r="H26" s="165"/>
      <c r="I26" s="165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56</v>
      </c>
      <c r="E27" s="165"/>
      <c r="F27" s="165"/>
      <c r="G27" s="165"/>
      <c r="H27" s="165"/>
      <c r="I27" s="165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6" t="s">
        <v>57</v>
      </c>
      <c r="E28" s="167"/>
      <c r="F28" s="167"/>
      <c r="G28" s="167"/>
      <c r="H28" s="167"/>
      <c r="I28" s="167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66"/>
      <c r="E29" s="167"/>
      <c r="F29" s="167"/>
      <c r="G29" s="167"/>
      <c r="H29" s="167"/>
      <c r="I29" s="167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90" t="s">
        <v>58</v>
      </c>
      <c r="E35" s="190"/>
      <c r="F35" s="190"/>
      <c r="G35" s="191"/>
      <c r="H35" s="190"/>
      <c r="I35" s="190"/>
      <c r="J35" s="190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75" t="s">
        <v>78</v>
      </c>
      <c r="E36" s="176"/>
      <c r="F36" s="176"/>
      <c r="G36" s="176"/>
      <c r="H36" s="176"/>
      <c r="I36" s="176"/>
      <c r="J36" s="177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7"/>
      <c r="L38" s="16"/>
      <c r="M38" s="2"/>
    </row>
    <row r="39" spans="1:13" ht="30.75" customHeight="1" thickBot="1" x14ac:dyDescent="0.45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64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60</v>
      </c>
      <c r="C53" s="35"/>
      <c r="D53" s="35"/>
      <c r="E53" s="22"/>
      <c r="F53" s="22" t="s">
        <v>62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>الاستاذ عماد جميل امين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2</v>
      </c>
      <c r="B59" s="22" t="str">
        <f t="shared" si="0"/>
        <v>الاستاذ عماد جميل امين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3</v>
      </c>
      <c r="B60" s="22" t="str">
        <f t="shared" si="0"/>
        <v>الاستاذ عماد جميل امين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4</v>
      </c>
      <c r="B61" s="22" t="str">
        <f t="shared" si="0"/>
        <v>الاستاذ عماد جميل امين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5</v>
      </c>
      <c r="B62" s="22" t="str">
        <f t="shared" si="0"/>
        <v>الاستاذ عماد جميل امين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6</v>
      </c>
      <c r="B63" s="22" t="str">
        <f t="shared" si="0"/>
        <v>الاستاذ عماد جميل امين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7</v>
      </c>
      <c r="B64" s="22" t="str">
        <f t="shared" si="0"/>
        <v>الاستاذ عماد جميل امين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8</v>
      </c>
      <c r="B65" s="22" t="str">
        <f t="shared" si="0"/>
        <v>الاستاذ عماد جميل امين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9</v>
      </c>
      <c r="B66" s="22" t="str">
        <f t="shared" si="0"/>
        <v>الاستاذ عماد جميل امين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10</v>
      </c>
      <c r="B67" s="22" t="str">
        <f t="shared" si="0"/>
        <v>الاستاذ عماد جميل امين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>عماد جميل امين</v>
      </c>
      <c r="C11" s="6"/>
      <c r="D11" s="6"/>
      <c r="E11" s="7"/>
      <c r="F11" s="183" t="str">
        <f>IFERROR(VLOOKUP(A11,DATA!B3:D13,3,0),"")</f>
        <v>مدير برنامج التمويل متناهي الصغر</v>
      </c>
      <c r="G11" s="168"/>
      <c r="H11" s="168"/>
      <c r="I11" s="168"/>
      <c r="J11" s="168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>عماد جميل امين</v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>عماد جميل امين</v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>عماد جميل امين</v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>عماد جميل امين</v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>عماد جميل امين</v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>عماد جميل امين</v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>عماد جميل امين</v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>عماد جميل امين</v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>عماد جميل امين</v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89" t="s">
        <v>72</v>
      </c>
      <c r="G21" s="189"/>
      <c r="H21" s="189"/>
      <c r="I21" s="189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55</v>
      </c>
      <c r="C22" s="22"/>
      <c r="D22" s="22"/>
      <c r="E22" s="22"/>
      <c r="F22" s="65"/>
      <c r="G22" s="63" t="s">
        <v>2</v>
      </c>
      <c r="H22" s="62"/>
      <c r="I22" s="64"/>
      <c r="J22" s="187" t="str">
        <f>NoToTxt(I22,"جنيها","قرش")&amp;" لاغير"</f>
        <v>صفر لاغير</v>
      </c>
      <c r="K22" s="187"/>
      <c r="L22" s="188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73</v>
      </c>
      <c r="E26" s="165"/>
      <c r="F26" s="165"/>
      <c r="G26" s="165"/>
      <c r="H26" s="165"/>
      <c r="I26" s="165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66"/>
      <c r="E27" s="167"/>
      <c r="F27" s="167"/>
      <c r="G27" s="167"/>
      <c r="H27" s="167"/>
      <c r="I27" s="167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71" t="s">
        <v>9</v>
      </c>
      <c r="D28" s="172"/>
      <c r="E28" s="172"/>
      <c r="F28" s="172"/>
      <c r="G28" s="172"/>
      <c r="H28" s="172"/>
      <c r="I28" s="172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4" t="s">
        <v>6</v>
      </c>
      <c r="E30" s="164"/>
      <c r="F30" s="164"/>
      <c r="G30" s="164"/>
      <c r="H30" s="164"/>
      <c r="I30" s="164"/>
      <c r="J30" s="164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3" t="s">
        <v>17</v>
      </c>
      <c r="E31" s="173"/>
      <c r="F31" s="173"/>
      <c r="G31" s="173"/>
      <c r="H31" s="173"/>
      <c r="I31" s="173"/>
      <c r="J31" s="173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90" t="s">
        <v>58</v>
      </c>
      <c r="E33" s="190"/>
      <c r="F33" s="190"/>
      <c r="G33" s="191"/>
      <c r="H33" s="190"/>
      <c r="I33" s="190"/>
      <c r="J33" s="190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5" t="s">
        <v>78</v>
      </c>
      <c r="E34" s="176"/>
      <c r="F34" s="176"/>
      <c r="G34" s="176"/>
      <c r="H34" s="176"/>
      <c r="I34" s="176"/>
      <c r="J34" s="177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73" t="s">
        <v>11</v>
      </c>
      <c r="E35" s="173"/>
      <c r="F35" s="173"/>
      <c r="G35" s="173"/>
      <c r="H35" s="173"/>
      <c r="I35" s="173"/>
      <c r="J35" s="173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5" t="s">
        <v>21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3" ht="30.75" customHeight="1" thickBot="1" x14ac:dyDescent="0.45">
      <c r="A37" s="12"/>
      <c r="B37" s="8"/>
      <c r="C37" s="171" t="s">
        <v>12</v>
      </c>
      <c r="D37" s="172"/>
      <c r="E37" s="172"/>
      <c r="F37" s="172"/>
      <c r="G37" s="172"/>
      <c r="H37" s="172"/>
      <c r="I37" s="172"/>
      <c r="J37" s="172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8" t="s">
        <v>30</v>
      </c>
      <c r="D39" s="158"/>
      <c r="E39" s="158"/>
      <c r="F39" s="158"/>
      <c r="G39" s="158"/>
      <c r="H39" s="158"/>
      <c r="I39" s="158"/>
      <c r="J39" s="158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64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74</v>
      </c>
      <c r="C51" s="35"/>
      <c r="D51" s="35"/>
      <c r="E51" s="22"/>
      <c r="F51" s="22" t="s">
        <v>62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59" t="s">
        <v>15</v>
      </c>
      <c r="C55" s="159"/>
      <c r="D55" s="22"/>
      <c r="E55" s="22"/>
      <c r="F55" s="22"/>
      <c r="G55" s="159" t="s">
        <v>16</v>
      </c>
      <c r="H55" s="159"/>
      <c r="I55" s="159"/>
      <c r="J55" s="159"/>
      <c r="K55" s="159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>الاستاذ عماد جميل امين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5" customHeight="1" x14ac:dyDescent="0.4">
      <c r="A57" s="132">
        <v>2</v>
      </c>
      <c r="B57" s="22" t="str">
        <f t="shared" si="0"/>
        <v>الاستاذ عماد جميل امين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5" customHeight="1" x14ac:dyDescent="0.4">
      <c r="A58" s="132">
        <v>3</v>
      </c>
      <c r="B58" s="22" t="str">
        <f t="shared" si="0"/>
        <v>الاستاذ عماد جميل امين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4</v>
      </c>
      <c r="B59" s="22" t="str">
        <f t="shared" si="0"/>
        <v>الاستاذ عماد جميل امين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5</v>
      </c>
      <c r="B60" s="22" t="str">
        <f t="shared" si="0"/>
        <v>الاستاذ عماد جميل امين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6</v>
      </c>
      <c r="B61" s="22" t="str">
        <f t="shared" si="0"/>
        <v>الاستاذ عماد جميل امين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7</v>
      </c>
      <c r="B62" s="22" t="str">
        <f t="shared" si="0"/>
        <v>الاستاذ عماد جميل امين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8</v>
      </c>
      <c r="B63" s="22" t="str">
        <f t="shared" si="0"/>
        <v>الاستاذ عماد جميل امين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9</v>
      </c>
      <c r="B64" s="22" t="str">
        <f t="shared" si="0"/>
        <v>الاستاذ عماد جميل امين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10</v>
      </c>
      <c r="B65" s="22" t="str">
        <f t="shared" si="0"/>
        <v>الاستاذ عماد جميل امين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58" t="s">
        <v>30</v>
      </c>
      <c r="D68" s="158"/>
      <c r="E68" s="158"/>
      <c r="F68" s="158"/>
      <c r="G68" s="158"/>
      <c r="H68" s="158"/>
      <c r="I68" s="158"/>
      <c r="J68" s="158"/>
      <c r="K68" s="20"/>
      <c r="L68" s="30"/>
    </row>
  </sheetData>
  <mergeCells count="38"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>عماد جميل امين</v>
      </c>
      <c r="C11" s="6"/>
      <c r="D11" s="6"/>
      <c r="E11" s="7"/>
      <c r="F11" s="168" t="str">
        <f t="shared" ref="F11:F20" si="0">IFERROR(VLOOKUP(A11,الاعضاء,3,0),"")</f>
        <v>مدير برنامج التمويل متناهي الصغر</v>
      </c>
      <c r="G11" s="168"/>
      <c r="H11" s="168"/>
      <c r="I11" s="168"/>
      <c r="J11" s="168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>عماد جميل امين</v>
      </c>
      <c r="C12" s="6"/>
      <c r="D12" s="6"/>
      <c r="E12" s="7"/>
      <c r="F12" s="168" t="str">
        <f t="shared" si="0"/>
        <v>مدير برنامج التمويل متناهي الصغر</v>
      </c>
      <c r="G12" s="168"/>
      <c r="H12" s="168"/>
      <c r="I12" s="168"/>
      <c r="J12" s="168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>عماد جميل امين</v>
      </c>
      <c r="C13" s="6"/>
      <c r="D13" s="6"/>
      <c r="E13" s="7"/>
      <c r="F13" s="168" t="str">
        <f t="shared" si="0"/>
        <v>مدير برنامج التمويل متناهي الصغر</v>
      </c>
      <c r="G13" s="168"/>
      <c r="H13" s="168"/>
      <c r="I13" s="168"/>
      <c r="J13" s="168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>عماد جميل امين</v>
      </c>
      <c r="C14" s="6"/>
      <c r="D14" s="6"/>
      <c r="E14" s="7"/>
      <c r="F14" s="168" t="str">
        <f t="shared" si="0"/>
        <v>مدير برنامج التمويل متناهي الصغر</v>
      </c>
      <c r="G14" s="168"/>
      <c r="H14" s="168"/>
      <c r="I14" s="168"/>
      <c r="J14" s="168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>عماد جميل امين</v>
      </c>
      <c r="C15" s="6"/>
      <c r="D15" s="6"/>
      <c r="E15" s="7"/>
      <c r="F15" s="168" t="str">
        <f t="shared" si="0"/>
        <v>مدير برنامج التمويل متناهي الصغر</v>
      </c>
      <c r="G15" s="168"/>
      <c r="H15" s="168"/>
      <c r="I15" s="168"/>
      <c r="J15" s="168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>عماد جميل امين</v>
      </c>
      <c r="C16" s="6"/>
      <c r="D16" s="6"/>
      <c r="E16" s="7"/>
      <c r="F16" s="168" t="str">
        <f t="shared" si="0"/>
        <v>مدير برنامج التمويل متناهي الصغر</v>
      </c>
      <c r="G16" s="168"/>
      <c r="H16" s="168"/>
      <c r="I16" s="168"/>
      <c r="J16" s="168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>عماد جميل امين</v>
      </c>
      <c r="C17" s="6"/>
      <c r="D17" s="6"/>
      <c r="E17" s="7"/>
      <c r="F17" s="168" t="str">
        <f t="shared" si="0"/>
        <v>مدير برنامج التمويل متناهي الصغر</v>
      </c>
      <c r="G17" s="168"/>
      <c r="H17" s="168"/>
      <c r="I17" s="168"/>
      <c r="J17" s="168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>عماد جميل امين</v>
      </c>
      <c r="C18" s="6"/>
      <c r="D18" s="6"/>
      <c r="E18" s="7"/>
      <c r="F18" s="168" t="str">
        <f t="shared" si="0"/>
        <v>مدير برنامج التمويل متناهي الصغر</v>
      </c>
      <c r="G18" s="168"/>
      <c r="H18" s="168"/>
      <c r="I18" s="168"/>
      <c r="J18" s="168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>عماد جميل امين</v>
      </c>
      <c r="C19" s="6"/>
      <c r="D19" s="6"/>
      <c r="E19" s="7"/>
      <c r="F19" s="168" t="str">
        <f t="shared" si="0"/>
        <v>مدير برنامج التمويل متناهي الصغر</v>
      </c>
      <c r="G19" s="168"/>
      <c r="H19" s="168"/>
      <c r="I19" s="168"/>
      <c r="J19" s="168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>عماد جميل امين</v>
      </c>
      <c r="C20" s="6"/>
      <c r="D20" s="6"/>
      <c r="E20" s="7"/>
      <c r="F20" s="168" t="str">
        <f t="shared" si="0"/>
        <v>مدير برنامج التمويل متناهي الصغر</v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136" t="s">
        <v>75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1"/>
      <c r="G22" s="63" t="s">
        <v>2</v>
      </c>
      <c r="H22" s="62"/>
      <c r="I22" s="71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76</v>
      </c>
      <c r="E26" s="165"/>
      <c r="F26" s="165"/>
      <c r="G26" s="165"/>
      <c r="H26" s="165"/>
      <c r="I26" s="165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77</v>
      </c>
      <c r="E27" s="165"/>
      <c r="F27" s="165"/>
      <c r="G27" s="165"/>
      <c r="H27" s="165"/>
      <c r="I27" s="165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79</v>
      </c>
      <c r="E28" s="179"/>
      <c r="F28" s="179"/>
      <c r="G28" s="179"/>
      <c r="H28" s="179"/>
      <c r="I28" s="180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78</v>
      </c>
      <c r="E37" s="176"/>
      <c r="F37" s="176"/>
      <c r="G37" s="176"/>
      <c r="H37" s="176"/>
      <c r="I37" s="176"/>
      <c r="J37" s="177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8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59</v>
      </c>
      <c r="C54" s="35"/>
      <c r="D54" s="35"/>
      <c r="E54" s="22"/>
      <c r="F54" s="22" t="s">
        <v>61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59" t="s">
        <v>15</v>
      </c>
      <c r="C58" s="159"/>
      <c r="D58" s="22"/>
      <c r="E58" s="22"/>
      <c r="F58" s="22"/>
      <c r="G58" s="159" t="s">
        <v>16</v>
      </c>
      <c r="H58" s="159"/>
      <c r="I58" s="159"/>
      <c r="J58" s="159"/>
      <c r="K58" s="159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>الاستاذ عماد جميل امين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1"/>
        <v>الاستاذ عماد جميل امين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1"/>
        <v>الاستاذ عماد جميل امين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1"/>
        <v>الاستاذ عماد جميل امين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1"/>
        <v>الاستاذ عماد جميل امين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1"/>
        <v>الاستاذ عماد جميل امين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1"/>
        <v>الاستاذ عماد جميل امين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1"/>
        <v>الاستاذ عماد جميل امين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1"/>
        <v>الاستاذ عماد جميل امين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customHeight="1" x14ac:dyDescent="0.4">
      <c r="A68" s="132">
        <v>10</v>
      </c>
      <c r="B68" s="22" t="str">
        <f t="shared" si="1"/>
        <v>الاستاذ عماد جميل امين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8" t="s">
        <v>30</v>
      </c>
      <c r="D72" s="158"/>
      <c r="E72" s="158"/>
      <c r="F72" s="158"/>
      <c r="G72" s="158"/>
      <c r="H72" s="158"/>
      <c r="I72" s="158"/>
      <c r="J72" s="158"/>
      <c r="K72" s="20"/>
      <c r="L72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G65:K65"/>
    <mergeCell ref="G66:K66"/>
    <mergeCell ref="G67:K67"/>
    <mergeCell ref="G68:K68"/>
    <mergeCell ref="C72:J7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tabSelected="1" workbookViewId="0">
      <selection activeCell="C17" sqref="C17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192">
        <v>0</v>
      </c>
      <c r="C3" s="61" t="s">
        <v>90</v>
      </c>
      <c r="D3" s="49" t="s">
        <v>91</v>
      </c>
    </row>
    <row r="4" spans="2:4" ht="13.8" x14ac:dyDescent="0.25">
      <c r="B4" s="51">
        <v>1</v>
      </c>
      <c r="C4" s="61" t="s">
        <v>52</v>
      </c>
      <c r="D4" s="52" t="s">
        <v>71</v>
      </c>
    </row>
    <row r="5" spans="2:4" ht="13.8" x14ac:dyDescent="0.25">
      <c r="B5" s="51">
        <v>2</v>
      </c>
      <c r="C5" s="61" t="s">
        <v>48</v>
      </c>
      <c r="D5" s="52" t="s">
        <v>37</v>
      </c>
    </row>
    <row r="6" spans="2:4" ht="13.8" x14ac:dyDescent="0.25">
      <c r="B6" s="51">
        <v>3</v>
      </c>
      <c r="C6" s="61" t="s">
        <v>51</v>
      </c>
      <c r="D6" s="52" t="s">
        <v>40</v>
      </c>
    </row>
    <row r="7" spans="2:4" ht="13.8" x14ac:dyDescent="0.25">
      <c r="B7" s="51">
        <v>4</v>
      </c>
      <c r="C7" s="61" t="s">
        <v>54</v>
      </c>
      <c r="D7" s="58" t="s">
        <v>83</v>
      </c>
    </row>
    <row r="8" spans="2:4" ht="13.8" x14ac:dyDescent="0.25">
      <c r="B8" s="51">
        <v>5</v>
      </c>
      <c r="C8" s="61" t="s">
        <v>50</v>
      </c>
      <c r="D8" s="52" t="s">
        <v>39</v>
      </c>
    </row>
    <row r="9" spans="2:4" ht="13.8" x14ac:dyDescent="0.25">
      <c r="B9" s="51">
        <v>6</v>
      </c>
      <c r="C9" s="61" t="s">
        <v>53</v>
      </c>
      <c r="D9" s="52" t="s">
        <v>39</v>
      </c>
    </row>
    <row r="10" spans="2:4" ht="13.8" x14ac:dyDescent="0.25">
      <c r="B10" s="51">
        <v>7</v>
      </c>
      <c r="C10" s="61" t="s">
        <v>49</v>
      </c>
      <c r="D10" s="52" t="s">
        <v>38</v>
      </c>
    </row>
    <row r="11" spans="2:4" ht="13.8" x14ac:dyDescent="0.25">
      <c r="B11" s="51">
        <v>20</v>
      </c>
      <c r="C11" s="61" t="s">
        <v>81</v>
      </c>
      <c r="D11" s="52" t="s">
        <v>82</v>
      </c>
    </row>
    <row r="12" spans="2:4" ht="13.8" x14ac:dyDescent="0.25">
      <c r="B12" s="51">
        <v>30</v>
      </c>
      <c r="C12" s="61" t="s">
        <v>87</v>
      </c>
      <c r="D12" s="52" t="s">
        <v>88</v>
      </c>
    </row>
    <row r="13" spans="2:4" ht="13.8" x14ac:dyDescent="0.25">
      <c r="B13" s="51">
        <v>40</v>
      </c>
      <c r="C13" s="61" t="s">
        <v>84</v>
      </c>
      <c r="D13" s="52" t="s">
        <v>85</v>
      </c>
    </row>
    <row r="14" spans="2:4" x14ac:dyDescent="0.25">
      <c r="B14" s="57"/>
      <c r="C14" s="58"/>
      <c r="D14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2025-06-04T10:47:39Z</dcterms:modified>
</cp:coreProperties>
</file>