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120" yWindow="756" windowWidth="12120" windowHeight="8940" tabRatio="897" activeTab="3"/>
  </bookViews>
  <sheets>
    <sheet name="ايدى فى ايدك" sheetId="3" r:id="rId1"/>
    <sheet name="البنك الاهلى" sheetId="1" r:id="rId2"/>
    <sheet name="بنك مصر" sheetId="4" r:id="rId3"/>
    <sheet name="الاسباني" sheetId="5" r:id="rId4"/>
    <sheet name="ترويج البدائل الاقتصادية" sheetId="9" r:id="rId5"/>
    <sheet name="تعزيز القدرات المؤسسية" sheetId="6" r:id="rId6"/>
    <sheet name="بنك الاسكندرية" sheetId="8" r:id="rId7"/>
    <sheet name="DATA" sheetId="2" r:id="rId8"/>
  </sheets>
  <functionGroups builtInGroupCount="18"/>
  <externalReferences>
    <externalReference r:id="rId9"/>
    <externalReference r:id="rId10"/>
  </externalReferences>
  <definedNames>
    <definedName name="_xlnm.Print_Area" localSheetId="3">الاسباني!$A$1:$L$70</definedName>
    <definedName name="_xlnm.Print_Area" localSheetId="1">'البنك الاهلى'!$A$1:$L$71</definedName>
    <definedName name="_xlnm.Print_Area" localSheetId="0">'ايدى فى ايدك'!$A$1:$L$69</definedName>
    <definedName name="_xlnm.Print_Area" localSheetId="6">'بنك الاسكندرية'!$A$1:$L$71</definedName>
    <definedName name="_xlnm.Print_Area" localSheetId="2">'بنك مصر'!$A$1:$L$70</definedName>
    <definedName name="_xlnm.Print_Area" localSheetId="4">'ترويج البدائل الاقتصادية'!$A$1:$L$70</definedName>
    <definedName name="_xlnm.Print_Area" localSheetId="5">'تعزيز القدرات المؤسسية'!$A$1:$L$67</definedName>
    <definedName name="الاعضاء" localSheetId="3">[1]DATA!$B$3:$D$19</definedName>
    <definedName name="الاعضاء" localSheetId="0">[2]DATA!$B$3:$D$18</definedName>
    <definedName name="الاعضاء" localSheetId="2">[1]DATA!$B$3:$D$19</definedName>
    <definedName name="الاعضاء" localSheetId="4">[1]DATA!$B$3:$D$19</definedName>
    <definedName name="الاعضاء" localSheetId="5">[1]DATA!$B$3:$D$19</definedName>
    <definedName name="الاعضاء">DATA!$B$3:$D$13</definedName>
  </definedNames>
  <calcPr calcId="162913"/>
</workbook>
</file>

<file path=xl/calcChain.xml><?xml version="1.0" encoding="utf-8"?>
<calcChain xmlns="http://schemas.openxmlformats.org/spreadsheetml/2006/main">
  <c r="M40" i="4" l="1"/>
  <c r="M40" i="1"/>
  <c r="M40" i="3"/>
  <c r="F19" i="9" l="1"/>
  <c r="J54" i="9" l="1"/>
  <c r="F54" i="9"/>
  <c r="K39" i="9"/>
  <c r="K30" i="9"/>
  <c r="J30" i="9"/>
  <c r="F20" i="9"/>
  <c r="B20" i="9"/>
  <c r="B67" i="9" s="1"/>
  <c r="B19" i="9"/>
  <c r="B66" i="9" s="1"/>
  <c r="F18" i="9"/>
  <c r="B18" i="9"/>
  <c r="B65" i="9" s="1"/>
  <c r="F17" i="9"/>
  <c r="B17" i="9"/>
  <c r="B64" i="9" s="1"/>
  <c r="F16" i="9"/>
  <c r="B16" i="9"/>
  <c r="B63" i="9" s="1"/>
  <c r="F15" i="9"/>
  <c r="B15" i="9"/>
  <c r="B62" i="9" s="1"/>
  <c r="F14" i="9"/>
  <c r="B14" i="9"/>
  <c r="B61" i="9" s="1"/>
  <c r="F13" i="9"/>
  <c r="B13" i="9"/>
  <c r="B60" i="9" s="1"/>
  <c r="F12" i="9"/>
  <c r="B12" i="9"/>
  <c r="B59" i="9" s="1"/>
  <c r="F11" i="9"/>
  <c r="B11" i="9"/>
  <c r="B58" i="9" s="1"/>
  <c r="C10" i="9"/>
  <c r="J22" i="9"/>
  <c r="F11" i="6" l="1"/>
  <c r="F11" i="5"/>
  <c r="F11" i="4"/>
  <c r="K40" i="1" l="1"/>
  <c r="K40" i="4" l="1"/>
  <c r="K39" i="5"/>
  <c r="K40" i="8"/>
  <c r="K37" i="6"/>
  <c r="J54" i="8" l="1"/>
  <c r="F54" i="8"/>
  <c r="K31" i="8"/>
  <c r="J31" i="8"/>
  <c r="F20" i="8"/>
  <c r="B20" i="8"/>
  <c r="B67" i="8" s="1"/>
  <c r="F19" i="8"/>
  <c r="B19" i="8"/>
  <c r="B66" i="8" s="1"/>
  <c r="F18" i="8"/>
  <c r="B18" i="8"/>
  <c r="B65" i="8" s="1"/>
  <c r="F17" i="8"/>
  <c r="B17" i="8"/>
  <c r="B64" i="8" s="1"/>
  <c r="F16" i="8"/>
  <c r="B16" i="8"/>
  <c r="B63" i="8" s="1"/>
  <c r="F15" i="8"/>
  <c r="B15" i="8"/>
  <c r="B62" i="8" s="1"/>
  <c r="F14" i="8"/>
  <c r="B14" i="8"/>
  <c r="B61" i="8" s="1"/>
  <c r="F13" i="8"/>
  <c r="B13" i="8"/>
  <c r="B60" i="8" s="1"/>
  <c r="F12" i="8"/>
  <c r="B12" i="8"/>
  <c r="B59" i="8" s="1"/>
  <c r="F11" i="8"/>
  <c r="B11" i="8"/>
  <c r="B58" i="8" s="1"/>
  <c r="C10" i="8"/>
  <c r="J22" i="8"/>
  <c r="J51" i="6" l="1"/>
  <c r="F51" i="6"/>
  <c r="K28" i="6"/>
  <c r="J28" i="6"/>
  <c r="F20" i="6"/>
  <c r="B20" i="6"/>
  <c r="B64" i="6" s="1"/>
  <c r="F19" i="6"/>
  <c r="B19" i="6"/>
  <c r="B63" i="6" s="1"/>
  <c r="F18" i="6"/>
  <c r="B18" i="6"/>
  <c r="B62" i="6" s="1"/>
  <c r="F17" i="6"/>
  <c r="B17" i="6"/>
  <c r="B61" i="6" s="1"/>
  <c r="F16" i="6"/>
  <c r="B16" i="6"/>
  <c r="B60" i="6" s="1"/>
  <c r="F15" i="6"/>
  <c r="B15" i="6"/>
  <c r="B59" i="6" s="1"/>
  <c r="F14" i="6"/>
  <c r="B14" i="6"/>
  <c r="B58" i="6" s="1"/>
  <c r="F13" i="6"/>
  <c r="B13" i="6"/>
  <c r="B57" i="6" s="1"/>
  <c r="F12" i="6"/>
  <c r="B12" i="6"/>
  <c r="B56" i="6" s="1"/>
  <c r="B11" i="6"/>
  <c r="B55" i="6" s="1"/>
  <c r="C10" i="6"/>
  <c r="J22" i="6"/>
  <c r="K40" i="3" l="1"/>
  <c r="K30" i="3"/>
  <c r="J30" i="3"/>
  <c r="F19" i="1" l="1"/>
  <c r="F19" i="4"/>
  <c r="F19" i="5"/>
  <c r="F19" i="3"/>
  <c r="B19" i="1"/>
  <c r="B66" i="1" s="1"/>
  <c r="B19" i="4"/>
  <c r="B66" i="4" s="1"/>
  <c r="B19" i="5"/>
  <c r="B66" i="5" s="1"/>
  <c r="B19" i="3"/>
  <c r="B66" i="3" s="1"/>
  <c r="C10" i="1" l="1"/>
  <c r="C10" i="4"/>
  <c r="C10" i="5"/>
  <c r="C10" i="3"/>
  <c r="F18" i="3" l="1"/>
  <c r="F18" i="1"/>
  <c r="F18" i="4"/>
  <c r="F18" i="5"/>
  <c r="B18" i="3"/>
  <c r="B65" i="3" s="1"/>
  <c r="B18" i="1"/>
  <c r="B65" i="1" s="1"/>
  <c r="B18" i="4"/>
  <c r="B65" i="4" s="1"/>
  <c r="B18" i="5"/>
  <c r="B65" i="5" s="1"/>
  <c r="J54" i="5" l="1"/>
  <c r="F54" i="5"/>
  <c r="K30" i="5"/>
  <c r="J30" i="5"/>
  <c r="F20" i="5"/>
  <c r="B20" i="5"/>
  <c r="B67" i="5" s="1"/>
  <c r="F17" i="5"/>
  <c r="B17" i="5"/>
  <c r="F16" i="5"/>
  <c r="B16" i="5"/>
  <c r="B63" i="5" s="1"/>
  <c r="F15" i="5"/>
  <c r="B15" i="5"/>
  <c r="B62" i="5" s="1"/>
  <c r="F14" i="5"/>
  <c r="B14" i="5"/>
  <c r="B61" i="5" s="1"/>
  <c r="F13" i="5"/>
  <c r="B13" i="5"/>
  <c r="B60" i="5" s="1"/>
  <c r="F12" i="5"/>
  <c r="B12" i="5"/>
  <c r="B59" i="5" s="1"/>
  <c r="B11" i="5"/>
  <c r="B58" i="5" s="1"/>
  <c r="J22" i="5"/>
  <c r="B64" i="5" l="1"/>
  <c r="J54" i="3" l="1"/>
  <c r="F54" i="3"/>
  <c r="J54" i="4"/>
  <c r="F54" i="4"/>
  <c r="F13" i="4"/>
  <c r="F14" i="4"/>
  <c r="F15" i="4"/>
  <c r="F16" i="4"/>
  <c r="F17" i="4"/>
  <c r="F20" i="4"/>
  <c r="F20" i="1"/>
  <c r="F20" i="3"/>
  <c r="B20" i="3"/>
  <c r="B67" i="3" s="1"/>
  <c r="J22" i="3"/>
  <c r="J22" i="4"/>
  <c r="J22" i="1"/>
  <c r="K31" i="1" l="1"/>
  <c r="J31" i="1"/>
  <c r="F12" i="4" l="1"/>
  <c r="F13" i="1"/>
  <c r="F14" i="1"/>
  <c r="F15" i="1"/>
  <c r="F16" i="1"/>
  <c r="F17" i="1"/>
  <c r="K31" i="4" l="1"/>
  <c r="J31" i="4"/>
  <c r="B12" i="4" l="1"/>
  <c r="B13" i="4"/>
  <c r="B14" i="4"/>
  <c r="B15" i="4"/>
  <c r="B16" i="4"/>
  <c r="B17" i="4"/>
  <c r="B20" i="4"/>
  <c r="B67" i="4" s="1"/>
  <c r="B11" i="4"/>
  <c r="B64" i="4" l="1"/>
  <c r="B63" i="4"/>
  <c r="B62" i="4"/>
  <c r="B61" i="4"/>
  <c r="B60" i="4"/>
  <c r="B59" i="4"/>
  <c r="B58" i="4"/>
  <c r="F12" i="3" l="1"/>
  <c r="F13" i="3"/>
  <c r="F14" i="3"/>
  <c r="F15" i="3"/>
  <c r="F16" i="3"/>
  <c r="F17" i="3"/>
  <c r="B12" i="3"/>
  <c r="B59" i="3" s="1"/>
  <c r="B13" i="3"/>
  <c r="B60" i="3" s="1"/>
  <c r="B14" i="3"/>
  <c r="B61" i="3" s="1"/>
  <c r="B15" i="3"/>
  <c r="B62" i="3" s="1"/>
  <c r="B16" i="3"/>
  <c r="B63" i="3" s="1"/>
  <c r="B17" i="3"/>
  <c r="B64" i="3" s="1"/>
  <c r="F11" i="3"/>
  <c r="B11" i="3"/>
  <c r="B58" i="3" s="1"/>
  <c r="F54" i="1" l="1"/>
  <c r="J54" i="1"/>
  <c r="B12" i="1" l="1"/>
  <c r="B13" i="1"/>
  <c r="B14" i="1"/>
  <c r="B15" i="1"/>
  <c r="B62" i="1" s="1"/>
  <c r="B16" i="1"/>
  <c r="B17" i="1"/>
  <c r="B64" i="1" s="1"/>
  <c r="B20" i="1"/>
  <c r="B67" i="1" s="1"/>
  <c r="B11" i="1"/>
  <c r="B59" i="1" l="1"/>
  <c r="B60" i="1"/>
  <c r="B61" i="1"/>
  <c r="B63" i="1"/>
  <c r="F12" i="1"/>
  <c r="F11" i="1"/>
  <c r="B58" i="1"/>
</calcChain>
</file>

<file path=xl/sharedStrings.xml><?xml version="1.0" encoding="utf-8"?>
<sst xmlns="http://schemas.openxmlformats.org/spreadsheetml/2006/main" count="523" uniqueCount="93">
  <si>
    <t xml:space="preserve">انه فى يوم </t>
  </si>
  <si>
    <t>الموافق</t>
  </si>
  <si>
    <t>بقيمه قدرها</t>
  </si>
  <si>
    <t>م</t>
  </si>
  <si>
    <t>قيمه</t>
  </si>
  <si>
    <t>عدد</t>
  </si>
  <si>
    <t>البيـــــــــان</t>
  </si>
  <si>
    <t>الطلبات المؤجله ( مرفق كشف يوضح سبب التاجيل لكل طلب)</t>
  </si>
  <si>
    <t>الطلبات المرفوضه ( مرفق كشف يوضح سبب الرفض لكل طلب)</t>
  </si>
  <si>
    <t>الاجمـــــــــــــــــــالى</t>
  </si>
  <si>
    <t>وحيث ان اجمالى المبالغ المتاحه بالفرع للصرف والتدفقات النقديه الداخله خلال الشهر الحالى عباره عن :</t>
  </si>
  <si>
    <t>المتوقع من سدادات مقدمه ( اصل ) لا تخص الشهر الحالى</t>
  </si>
  <si>
    <t>الصــــــــافى</t>
  </si>
  <si>
    <t>وبعد دراسة جميع الطلبــات ومناقشتها ومراجعه دراسة الجــدوى لجميـع المشروعات المتقدمه بطلب قرض</t>
  </si>
  <si>
    <t>الساده اعضاء اللجنه :</t>
  </si>
  <si>
    <t>الاسم</t>
  </si>
  <si>
    <t>التوقيع</t>
  </si>
  <si>
    <t>رصيد دفترى بالحساب الجارى فى نهاية الشهر المنقضى</t>
  </si>
  <si>
    <t>رصيد الخزينه فى نهاية الشهر المنقضى</t>
  </si>
  <si>
    <t>المتوقع تحصيله (اصل) حتى نهاية الشهر الجارى(من بيانات الاقفال الشهريه)</t>
  </si>
  <si>
    <t>القيمه</t>
  </si>
  <si>
    <t>اجمالى الدفعات المستحقه والمطلوب خصمها لهذا الشهر</t>
  </si>
  <si>
    <t>وبعد دراسة جميع الطلبات ومراجعتها مع كشوف القروض المعتمده والبيانات الوارده عن الفرع .</t>
  </si>
  <si>
    <t>ـــ</t>
  </si>
  <si>
    <t>محضر لجنه الائتمان والتمويل المتناهى الصغر</t>
  </si>
  <si>
    <t>اجتمعت لجنه الائتمان والتمويل المتناهى الصغر  بحضور كلا من الساده :</t>
  </si>
  <si>
    <t xml:space="preserve"> كان قرار لجنه الائتمان والتمويل المتناهى الصغر كالاتى :</t>
  </si>
  <si>
    <t>بمكتب التمويل متناهى الصغر نجع حمادى</t>
  </si>
  <si>
    <t>الوظيفة</t>
  </si>
  <si>
    <t>--------------------------------------------------------------------------------------------------------------------------------------------------</t>
  </si>
  <si>
    <t>خلف المحكمه - ش 15 مايو – نجع حمادى        تليفاكس 2570336 /096</t>
  </si>
  <si>
    <t>الكود</t>
  </si>
  <si>
    <t>----------------------------------------------</t>
  </si>
  <si>
    <t xml:space="preserve">وانهت اللجنه اعمالها وقامت بتسليم السيد /  </t>
  </si>
  <si>
    <t xml:space="preserve"> جميع الطلبات والكشوف المعتمده من اللجنه لاتخاذ ما يلزم من اجراءات وهذا محضر بذلك .</t>
  </si>
  <si>
    <t>حيث تم عرض طلبات القروض المقدمه من العملاء لمشروع</t>
  </si>
  <si>
    <t>تمويل البنك الاهلى المصرى</t>
  </si>
  <si>
    <t>مدير التمويل متناهى الصغر بمحافظة قنا</t>
  </si>
  <si>
    <t>مراجع أول برامج التمويل متناهى الصغر</t>
  </si>
  <si>
    <t>مشرف حسابات برامج التمويل متناهى الصغر</t>
  </si>
  <si>
    <t>مدير فرع التمويل متناهى الصغر بابوتشت</t>
  </si>
  <si>
    <t xml:space="preserve">حيث تم عرض طلبات القروض المقدمه من العملاء لمشروع            </t>
  </si>
  <si>
    <t>ايدى فى ايدك</t>
  </si>
  <si>
    <t>المحول من الجمعيه</t>
  </si>
  <si>
    <t xml:space="preserve">محول من فروع اخرى </t>
  </si>
  <si>
    <t>تمويل بنك مصر</t>
  </si>
  <si>
    <t>الطلبات التى وافقت عليها بلجنة ايدى فى ايدك (شريحة أ)(مرفق كشف القروض المعتمده من اللجنة)</t>
  </si>
  <si>
    <t>الطلبات التى وافقت عليها بلجنة ايدى فى ايدك (شريحة ب)(مرفق كشف القروض المعتمده من اللجنة)</t>
  </si>
  <si>
    <t>سامح بلامون عبدالسيد</t>
  </si>
  <si>
    <t>عماد كمال ايوب</t>
  </si>
  <si>
    <t>عادل اديب ناشد</t>
  </si>
  <si>
    <t>يوسف قاعود منصور</t>
  </si>
  <si>
    <t>جورج راشد موريس</t>
  </si>
  <si>
    <t>مينا شهدي زارع</t>
  </si>
  <si>
    <t>وائل مترى ناشد</t>
  </si>
  <si>
    <t>وبلغت الطلبات التى تم عرضها على اللجنه عدد</t>
  </si>
  <si>
    <t>الطلبات التى وافقت اللجنه عليها بلجنه الهيئة الاسبانية (شريحه ب)(مرفق كشف القروض المعتمده من اللجنة)</t>
  </si>
  <si>
    <t>الطلبات التى وافقت اللجنه عليها بلجنه الهيئة الاسبانية (شريحه ج)(مرفق كشف القروض المعتمده من اللجنة)</t>
  </si>
  <si>
    <t>المتوقع تحصيله (اصل) حتى نهاية الشهر الجارى (من بيانات الاقفال الشهريه)</t>
  </si>
  <si>
    <t>الهيئة الاسبانية (تمكين السيدات اجتماعيا واقتصاديا)</t>
  </si>
  <si>
    <t>الطلبات التى وافقت اللجنه عليها بلجنه بنك مصر (شريحه ا قصيرة الاجل)(مرفق كشف القروض المعتمده من اللجنة)</t>
  </si>
  <si>
    <t>الطلبات التى وافقت اللجنه عليها بلجنه بنك مصر (شريحه ب قصيرة الاجل)(مرفق كشف القروض المعتمده من اللجنة)</t>
  </si>
  <si>
    <t>الطلبات التى وافقت اللجنه عليها بلجنه بنك مصر (شريحه ا متوسط  الاجل)(مرفق كشف القروض المعتمده من اللجنة)</t>
  </si>
  <si>
    <t>الطلبات التى وافقت اللجنه عليها بلجنه بنك مصر (شريحه ب متوسط  الاجل)(مرفق كشف القروض المعتمده من اللجنة)</t>
  </si>
  <si>
    <t>الطلبات التى وافقت عليها بلجنة البنك الاهلى(شريحة أ البنك الاهلي)(مرفق كشف القروض المعتمده من اللجنة)</t>
  </si>
  <si>
    <t>الطلبات التى وافقت عليها بلجنة البنك الاهلى(شريحة ب البنك الاهلي)(مرفق كشف القروض المعتمده من اللجنة)</t>
  </si>
  <si>
    <t>مدير العمليات</t>
  </si>
  <si>
    <t>تعزيز القدرات المؤسسية</t>
  </si>
  <si>
    <t>الطلبات التى وافقت اللجنه عليها بلجنه تعزيز القدرات المؤسسية (مرفق كشف القروض المعتمده من اللجنة)</t>
  </si>
  <si>
    <t>تمويل بنك الاسكندرية</t>
  </si>
  <si>
    <t>الطلبات التى وافقت عليها بلجنة بنك الاسكندرية(شريحة أ بنك الاسكندرية)(مرفق كشف القروض المعتمده من اللجنة)</t>
  </si>
  <si>
    <t>الطلبات التى وافقت عليها بلجنة بنك الاسكندرية(شريحة ب بنك الاسكندرية)(مرفق كشف القروض المعتمده من اللجنة)</t>
  </si>
  <si>
    <t>تمويل متاح</t>
  </si>
  <si>
    <t>الطلبات التى وافقت عليها بلجنة بنك الاسكندرية(شريحة ج)(مرفق كشف القروض المعتمده من اللجنة)</t>
  </si>
  <si>
    <t>الطلبات التى وافقت عليها بلجنة البنك الاهلى(شريحة ج البنك الاهلي)(مرفق كشف القروض المعتمده من اللجنة)</t>
  </si>
  <si>
    <t>نصحي مقار نصحي</t>
  </si>
  <si>
    <t>مدير مكتب التمويل متناهى الصغر بفرشوط</t>
  </si>
  <si>
    <t>هدرا وحيد دكران</t>
  </si>
  <si>
    <t xml:space="preserve">هدرا عدلي جاد </t>
  </si>
  <si>
    <t>عماد جميل امين</t>
  </si>
  <si>
    <t>مدير برنامج التمويل متناهي الصغر</t>
  </si>
  <si>
    <t>-</t>
  </si>
  <si>
    <t>الطلبات التى وافقت اللجنه عليها بلجنه الهيئة الاسبانية 21%(مرفق كشف القروض المعتمده من اللجنة)</t>
  </si>
  <si>
    <t>بناء عليه وافقت اللجنه على الصرف للعملاء عن طريق محفظة الكترونية بشركة فوري</t>
  </si>
  <si>
    <t xml:space="preserve">بناء عليه وافقت اللجنه على الصرف لطلبات التمويلات للعملاء عن طريق التحويلات البنكية علي الحساب </t>
  </si>
  <si>
    <t xml:space="preserve">الجارى رقم 108103509046 </t>
  </si>
  <si>
    <t>ببنك الاسكندرية فرع غمرة وذلك طبقا لحافظة كروت ميزة المرفقة</t>
  </si>
  <si>
    <t>الهيئة الاسبانية ( ترويج البدائل الاقتصادية والاجتماعية  )</t>
  </si>
  <si>
    <t xml:space="preserve">الجارى رقم 108103509041 </t>
  </si>
  <si>
    <t xml:space="preserve"> </t>
  </si>
  <si>
    <t>نائب مدير مكتب التمويل متناهي الصغر بنجع حمادي</t>
  </si>
  <si>
    <t>نائب مدير مكتب التمويل متناهي الصغر بأبوتشت</t>
  </si>
  <si>
    <t>نائب مدير مكتب التمويل متناهي الصغر بفرشوط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</si>
</sst>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dd"/>
    <numFmt numFmtId="165" formatCode="0_ ;[Red]\-0\ "/>
  </numFmts>
  <fonts count="33" x14ac:knownFonts="1">
    <font>
      <sz val="10"/>
      <name val="Arial"/>
    </font>
    <font>
      <b/>
      <u/>
      <sz val="18"/>
      <name val="Arial"/>
      <family val="2"/>
    </font>
    <font>
      <sz val="8"/>
      <name val="Arial"/>
      <family val="2"/>
    </font>
    <font>
      <b/>
      <u/>
      <sz val="20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b/>
      <sz val="18"/>
      <name val="Webdings"/>
      <family val="1"/>
      <charset val="2"/>
    </font>
    <font>
      <sz val="18"/>
      <name val="Times New Roman"/>
      <family val="1"/>
    </font>
    <font>
      <b/>
      <sz val="18"/>
      <name val="Times New Roman"/>
      <family val="1"/>
    </font>
    <font>
      <b/>
      <sz val="16"/>
      <name val="Times New Roman"/>
      <family val="1"/>
    </font>
    <font>
      <b/>
      <sz val="18"/>
      <name val="Arial (Arabic)"/>
      <family val="2"/>
      <charset val="178"/>
    </font>
    <font>
      <b/>
      <sz val="16"/>
      <name val="Arial"/>
      <family val="2"/>
    </font>
    <font>
      <b/>
      <sz val="14"/>
      <name val="Arial (Arabic)"/>
      <family val="2"/>
      <charset val="178"/>
    </font>
    <font>
      <sz val="14"/>
      <name val="Arial"/>
      <family val="2"/>
    </font>
    <font>
      <b/>
      <sz val="16"/>
      <name val="Arial (Arabic)"/>
      <family val="2"/>
      <charset val="178"/>
    </font>
    <font>
      <sz val="16"/>
      <name val="Arial"/>
      <family val="2"/>
    </font>
    <font>
      <b/>
      <sz val="10"/>
      <name val="Times New Roman"/>
      <family val="1"/>
    </font>
    <font>
      <b/>
      <sz val="5"/>
      <name val="Times New Roman"/>
      <family val="1"/>
    </font>
    <font>
      <sz val="18"/>
      <color theme="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3"/>
      <name val="Arial"/>
      <family val="2"/>
    </font>
    <font>
      <b/>
      <sz val="11"/>
      <name val="Times New Roman"/>
      <family val="1"/>
    </font>
    <font>
      <b/>
      <sz val="10"/>
      <name val="Arial"/>
      <family val="2"/>
    </font>
    <font>
      <b/>
      <sz val="15"/>
      <name val="Arial"/>
      <family val="2"/>
    </font>
    <font>
      <sz val="11"/>
      <name val="Arial"/>
      <family val="2"/>
    </font>
    <font>
      <b/>
      <sz val="14"/>
      <name val="Times New Roman"/>
      <family val="1"/>
    </font>
    <font>
      <b/>
      <sz val="15"/>
      <name val="Times New Roman"/>
      <family val="1"/>
    </font>
    <font>
      <b/>
      <sz val="13.5"/>
      <name val="Times New Roman"/>
      <family val="1"/>
    </font>
    <font>
      <b/>
      <sz val="13.5"/>
      <name val="Arial (Arabic)"/>
      <family val="2"/>
      <charset val="178"/>
    </font>
    <font>
      <b/>
      <sz val="1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7">
    <xf numFmtId="0" fontId="0" fillId="0" borderId="0" xfId="0"/>
    <xf numFmtId="0" fontId="4" fillId="0" borderId="0" xfId="0" applyFont="1"/>
    <xf numFmtId="0" fontId="7" fillId="0" borderId="0" xfId="0" applyFont="1"/>
    <xf numFmtId="0" fontId="7" fillId="0" borderId="1" xfId="0" applyFont="1" applyBorder="1"/>
    <xf numFmtId="16" fontId="7" fillId="0" borderId="1" xfId="0" applyNumberFormat="1" applyFont="1" applyBorder="1"/>
    <xf numFmtId="0" fontId="0" fillId="0" borderId="0" xfId="0" applyBorder="1"/>
    <xf numFmtId="0" fontId="5" fillId="0" borderId="0" xfId="0" applyFont="1" applyBorder="1"/>
    <xf numFmtId="0" fontId="6" fillId="0" borderId="0" xfId="0" applyFont="1" applyBorder="1" applyAlignment="1"/>
    <xf numFmtId="0" fontId="7" fillId="0" borderId="0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4" fillId="0" borderId="5" xfId="0" applyFont="1" applyBorder="1"/>
    <xf numFmtId="0" fontId="4" fillId="0" borderId="6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center"/>
    </xf>
    <xf numFmtId="16" fontId="7" fillId="0" borderId="6" xfId="0" applyNumberFormat="1" applyFont="1" applyBorder="1"/>
    <xf numFmtId="0" fontId="0" fillId="0" borderId="7" xfId="0" applyBorder="1"/>
    <xf numFmtId="0" fontId="7" fillId="0" borderId="8" xfId="0" applyFont="1" applyBorder="1"/>
    <xf numFmtId="0" fontId="7" fillId="0" borderId="9" xfId="0" applyFont="1" applyBorder="1"/>
    <xf numFmtId="0" fontId="8" fillId="0" borderId="0" xfId="0" applyFont="1" applyBorder="1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3" xfId="0" applyFont="1" applyBorder="1"/>
    <xf numFmtId="0" fontId="0" fillId="0" borderId="1" xfId="0" applyBorder="1"/>
    <xf numFmtId="0" fontId="7" fillId="0" borderId="3" xfId="0" applyFont="1" applyBorder="1"/>
    <xf numFmtId="0" fontId="7" fillId="0" borderId="4" xfId="0" applyFont="1" applyBorder="1"/>
    <xf numFmtId="0" fontId="0" fillId="0" borderId="9" xfId="0" applyBorder="1"/>
    <xf numFmtId="0" fontId="9" fillId="0" borderId="14" xfId="0" applyFont="1" applyBorder="1" applyAlignment="1"/>
    <xf numFmtId="0" fontId="9" fillId="0" borderId="15" xfId="0" applyFont="1" applyBorder="1" applyAlignment="1"/>
    <xf numFmtId="0" fontId="9" fillId="0" borderId="16" xfId="0" applyFont="1" applyBorder="1" applyAlignment="1"/>
    <xf numFmtId="0" fontId="8" fillId="0" borderId="17" xfId="0" applyFont="1" applyBorder="1"/>
    <xf numFmtId="0" fontId="8" fillId="0" borderId="0" xfId="0" applyFont="1" applyBorder="1" applyAlignment="1"/>
    <xf numFmtId="0" fontId="8" fillId="0" borderId="20" xfId="0" applyFont="1" applyBorder="1" applyAlignment="1">
      <alignment horizontal="center" vertical="center" readingOrder="2"/>
    </xf>
    <xf numFmtId="0" fontId="8" fillId="0" borderId="20" xfId="0" applyNumberFormat="1" applyFont="1" applyBorder="1" applyAlignment="1">
      <alignment horizontal="center" vertical="center" readingOrder="2"/>
    </xf>
    <xf numFmtId="0" fontId="8" fillId="0" borderId="19" xfId="0" applyNumberFormat="1" applyFont="1" applyBorder="1" applyAlignment="1">
      <alignment horizontal="center" vertical="center" readingOrder="2"/>
    </xf>
    <xf numFmtId="0" fontId="8" fillId="0" borderId="18" xfId="0" applyFont="1" applyBorder="1" applyAlignment="1">
      <alignment horizontal="center" vertical="center" readingOrder="2"/>
    </xf>
    <xf numFmtId="0" fontId="8" fillId="0" borderId="21" xfId="0" applyFont="1" applyBorder="1" applyAlignment="1">
      <alignment horizontal="center" vertical="center" readingOrder="2"/>
    </xf>
    <xf numFmtId="15" fontId="12" fillId="2" borderId="0" xfId="0" applyNumberFormat="1" applyFont="1" applyFill="1" applyBorder="1" applyAlignment="1">
      <alignment horizontal="center" vertical="center" readingOrder="2"/>
    </xf>
    <xf numFmtId="0" fontId="13" fillId="0" borderId="6" xfId="0" applyFont="1" applyBorder="1"/>
    <xf numFmtId="0" fontId="11" fillId="0" borderId="0" xfId="0" applyFont="1" applyBorder="1"/>
    <xf numFmtId="0" fontId="15" fillId="0" borderId="0" xfId="0" applyFont="1" applyBorder="1"/>
    <xf numFmtId="0" fontId="9" fillId="0" borderId="0" xfId="0" applyFont="1" applyBorder="1"/>
    <xf numFmtId="0" fontId="18" fillId="0" borderId="5" xfId="0" applyFont="1" applyBorder="1"/>
    <xf numFmtId="0" fontId="20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21" fillId="0" borderId="0" xfId="0" quotePrefix="1" applyFont="1" applyBorder="1" applyAlignment="1">
      <alignment horizontal="right"/>
    </xf>
    <xf numFmtId="0" fontId="19" fillId="0" borderId="0" xfId="0" applyFont="1" applyAlignment="1">
      <alignment horizontal="center" vertical="center"/>
    </xf>
    <xf numFmtId="0" fontId="19" fillId="0" borderId="0" xfId="0" applyFont="1"/>
    <xf numFmtId="0" fontId="22" fillId="0" borderId="5" xfId="0" applyFont="1" applyBorder="1"/>
    <xf numFmtId="0" fontId="24" fillId="0" borderId="0" xfId="0" applyFont="1" applyBorder="1"/>
    <xf numFmtId="0" fontId="8" fillId="0" borderId="0" xfId="0" applyFont="1" applyBorder="1" applyAlignment="1">
      <alignment horizontal="center" vertical="center" shrinkToFit="1"/>
    </xf>
    <xf numFmtId="0" fontId="8" fillId="0" borderId="18" xfId="0" applyNumberFormat="1" applyFont="1" applyBorder="1" applyAlignment="1">
      <alignment horizontal="center" vertical="center" readingOrder="2"/>
    </xf>
    <xf numFmtId="0" fontId="25" fillId="0" borderId="0" xfId="0" applyFont="1" applyAlignment="1">
      <alignment horizontal="center" vertical="center"/>
    </xf>
    <xf numFmtId="0" fontId="25" fillId="0" borderId="0" xfId="0" applyFont="1"/>
    <xf numFmtId="0" fontId="8" fillId="0" borderId="11" xfId="0" applyFont="1" applyBorder="1" applyAlignment="1">
      <alignment horizontal="center"/>
    </xf>
    <xf numFmtId="164" fontId="14" fillId="2" borderId="0" xfId="0" applyNumberFormat="1" applyFont="1" applyFill="1" applyBorder="1" applyAlignment="1">
      <alignment horizontal="center" vertical="center" readingOrder="2"/>
    </xf>
    <xf numFmtId="0" fontId="27" fillId="0" borderId="0" xfId="0" applyFont="1" applyAlignment="1">
      <alignment horizontal="right" vertical="center" readingOrder="2"/>
    </xf>
    <xf numFmtId="0" fontId="10" fillId="0" borderId="0" xfId="0" applyNumberFormat="1" applyFont="1" applyFill="1" applyBorder="1" applyAlignment="1">
      <alignment horizontal="center" vertical="center" readingOrder="2"/>
    </xf>
    <xf numFmtId="0" fontId="28" fillId="0" borderId="0" xfId="0" applyFont="1" applyBorder="1"/>
    <xf numFmtId="0" fontId="8" fillId="3" borderId="0" xfId="0" applyFont="1" applyFill="1" applyBorder="1" applyAlignment="1">
      <alignment horizontal="center" vertical="center" readingOrder="2"/>
    </xf>
    <xf numFmtId="0" fontId="8" fillId="3" borderId="0" xfId="0" applyFont="1" applyFill="1" applyBorder="1" applyAlignment="1">
      <alignment horizontal="center" readingOrder="2"/>
    </xf>
    <xf numFmtId="0" fontId="8" fillId="0" borderId="11" xfId="0" applyFont="1" applyBorder="1" applyAlignment="1">
      <alignment horizontal="center"/>
    </xf>
    <xf numFmtId="15" fontId="1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18" fillId="0" borderId="5" xfId="0" applyFont="1" applyBorder="1" applyProtection="1">
      <protection locked="0"/>
    </xf>
    <xf numFmtId="0" fontId="22" fillId="0" borderId="5" xfId="0" applyFont="1" applyBorder="1" applyProtection="1">
      <protection locked="0"/>
    </xf>
    <xf numFmtId="0" fontId="8" fillId="3" borderId="0" xfId="0" applyFont="1" applyFill="1" applyBorder="1" applyAlignment="1" applyProtection="1">
      <alignment horizontal="center" readingOrder="2"/>
      <protection locked="0"/>
    </xf>
    <xf numFmtId="0" fontId="8" fillId="3" borderId="0" xfId="0" applyFont="1" applyFill="1" applyBorder="1" applyAlignment="1" applyProtection="1">
      <alignment horizontal="center" vertical="center" readingOrder="2"/>
      <protection locked="0"/>
    </xf>
    <xf numFmtId="0" fontId="8" fillId="0" borderId="19" xfId="0" applyNumberFormat="1" applyFont="1" applyBorder="1" applyAlignment="1" applyProtection="1">
      <alignment readingOrder="2"/>
      <protection locked="0"/>
    </xf>
    <xf numFmtId="0" fontId="8" fillId="0" borderId="18" xfId="0" applyFont="1" applyBorder="1" applyAlignment="1" applyProtection="1">
      <alignment readingOrder="2"/>
      <protection locked="0"/>
    </xf>
    <xf numFmtId="0" fontId="8" fillId="0" borderId="19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Font="1" applyBorder="1" applyAlignment="1" applyProtection="1">
      <alignment horizontal="center" vertical="center" readingOrder="2"/>
      <protection locked="0"/>
    </xf>
    <xf numFmtId="0" fontId="8" fillId="0" borderId="20" xfId="0" applyNumberFormat="1" applyFont="1" applyBorder="1" applyAlignment="1" applyProtection="1">
      <alignment horizontal="center" vertical="center" readingOrder="2"/>
      <protection locked="0"/>
    </xf>
    <xf numFmtId="0" fontId="8" fillId="0" borderId="20" xfId="0" applyFont="1" applyBorder="1" applyAlignment="1" applyProtection="1">
      <alignment horizontal="center" vertical="center" readingOrder="2"/>
      <protection locked="0"/>
    </xf>
    <xf numFmtId="0" fontId="0" fillId="0" borderId="2" xfId="0" applyBorder="1" applyProtection="1"/>
    <xf numFmtId="0" fontId="0" fillId="0" borderId="3" xfId="0" applyBorder="1" applyProtection="1"/>
    <xf numFmtId="0" fontId="0" fillId="0" borderId="4" xfId="0" applyBorder="1" applyProtection="1"/>
    <xf numFmtId="0" fontId="0" fillId="0" borderId="0" xfId="0" applyProtection="1"/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4" fillId="0" borderId="5" xfId="0" applyFont="1" applyBorder="1" applyProtection="1"/>
    <xf numFmtId="0" fontId="11" fillId="0" borderId="0" xfId="0" applyFont="1" applyBorder="1" applyProtection="1"/>
    <xf numFmtId="164" fontId="14" fillId="2" borderId="0" xfId="0" applyNumberFormat="1" applyFont="1" applyFill="1" applyBorder="1" applyAlignment="1" applyProtection="1">
      <alignment horizontal="center" vertical="center" readingOrder="2"/>
    </xf>
    <xf numFmtId="0" fontId="15" fillId="0" borderId="0" xfId="0" applyFont="1" applyBorder="1" applyProtection="1"/>
    <xf numFmtId="0" fontId="13" fillId="0" borderId="6" xfId="0" applyFont="1" applyBorder="1" applyProtection="1"/>
    <xf numFmtId="0" fontId="4" fillId="0" borderId="0" xfId="0" applyFont="1" applyProtection="1"/>
    <xf numFmtId="0" fontId="5" fillId="0" borderId="0" xfId="0" applyFont="1" applyBorder="1" applyProtection="1"/>
    <xf numFmtId="0" fontId="6" fillId="0" borderId="0" xfId="0" applyFont="1" applyBorder="1" applyAlignment="1" applyProtection="1"/>
    <xf numFmtId="0" fontId="21" fillId="0" borderId="0" xfId="0" quotePrefix="1" applyFont="1" applyBorder="1" applyAlignment="1" applyProtection="1">
      <alignment horizontal="right"/>
    </xf>
    <xf numFmtId="0" fontId="4" fillId="0" borderId="6" xfId="0" applyFont="1" applyBorder="1" applyProtection="1"/>
    <xf numFmtId="0" fontId="22" fillId="0" borderId="5" xfId="0" applyFont="1" applyBorder="1" applyProtection="1"/>
    <xf numFmtId="0" fontId="0" fillId="0" borderId="6" xfId="0" applyBorder="1" applyAlignment="1" applyProtection="1"/>
    <xf numFmtId="0" fontId="8" fillId="0" borderId="0" xfId="0" applyFont="1" applyBorder="1" applyProtection="1"/>
    <xf numFmtId="0" fontId="9" fillId="0" borderId="0" xfId="0" applyFont="1" applyBorder="1" applyProtection="1"/>
    <xf numFmtId="0" fontId="7" fillId="0" borderId="6" xfId="0" applyFont="1" applyBorder="1" applyProtection="1"/>
    <xf numFmtId="0" fontId="7" fillId="0" borderId="0" xfId="0" applyFont="1" applyProtection="1"/>
    <xf numFmtId="0" fontId="28" fillId="0" borderId="0" xfId="0" applyFont="1" applyBorder="1" applyProtection="1"/>
    <xf numFmtId="0" fontId="10" fillId="0" borderId="0" xfId="0" applyNumberFormat="1" applyFont="1" applyFill="1" applyBorder="1" applyAlignment="1" applyProtection="1">
      <alignment horizontal="center" vertical="center" readingOrder="2"/>
    </xf>
    <xf numFmtId="0" fontId="7" fillId="0" borderId="0" xfId="0" applyFont="1" applyBorder="1" applyProtection="1"/>
    <xf numFmtId="0" fontId="8" fillId="0" borderId="1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8" fillId="0" borderId="12" xfId="0" applyFont="1" applyBorder="1" applyAlignment="1" applyProtection="1">
      <alignment horizontal="center"/>
    </xf>
    <xf numFmtId="0" fontId="7" fillId="0" borderId="6" xfId="0" applyFont="1" applyBorder="1" applyAlignment="1" applyProtection="1">
      <alignment horizontal="center"/>
    </xf>
    <xf numFmtId="0" fontId="8" fillId="0" borderId="13" xfId="0" applyFont="1" applyBorder="1" applyProtection="1"/>
    <xf numFmtId="0" fontId="8" fillId="0" borderId="19" xfId="0" applyNumberFormat="1" applyFont="1" applyBorder="1" applyAlignment="1" applyProtection="1">
      <alignment horizontal="center" vertical="center" readingOrder="2"/>
    </xf>
    <xf numFmtId="0" fontId="9" fillId="0" borderId="14" xfId="0" applyFont="1" applyBorder="1" applyAlignment="1" applyProtection="1"/>
    <xf numFmtId="0" fontId="9" fillId="0" borderId="15" xfId="0" applyFont="1" applyBorder="1" applyAlignment="1" applyProtection="1"/>
    <xf numFmtId="0" fontId="9" fillId="0" borderId="16" xfId="0" applyFont="1" applyBorder="1" applyAlignment="1" applyProtection="1"/>
    <xf numFmtId="0" fontId="8" fillId="0" borderId="17" xfId="0" applyFont="1" applyBorder="1" applyProtection="1"/>
    <xf numFmtId="0" fontId="8" fillId="0" borderId="21" xfId="0" applyFont="1" applyBorder="1" applyAlignment="1" applyProtection="1">
      <alignment horizontal="center" vertical="center" readingOrder="2"/>
    </xf>
    <xf numFmtId="0" fontId="7" fillId="0" borderId="1" xfId="0" applyFont="1" applyBorder="1" applyProtection="1"/>
    <xf numFmtId="16" fontId="7" fillId="0" borderId="1" xfId="0" applyNumberFormat="1" applyFont="1" applyBorder="1" applyProtection="1"/>
    <xf numFmtId="16" fontId="7" fillId="0" borderId="6" xfId="0" applyNumberFormat="1" applyFont="1" applyBorder="1" applyProtection="1"/>
    <xf numFmtId="0" fontId="0" fillId="0" borderId="7" xfId="0" applyBorder="1" applyProtection="1"/>
    <xf numFmtId="0" fontId="7" fillId="0" borderId="8" xfId="0" applyFont="1" applyBorder="1" applyProtection="1"/>
    <xf numFmtId="0" fontId="7" fillId="0" borderId="9" xfId="0" applyFont="1" applyBorder="1" applyProtection="1"/>
    <xf numFmtId="0" fontId="7" fillId="0" borderId="3" xfId="0" applyFont="1" applyBorder="1" applyProtection="1"/>
    <xf numFmtId="0" fontId="7" fillId="0" borderId="4" xfId="0" applyFont="1" applyBorder="1" applyProtection="1"/>
    <xf numFmtId="0" fontId="8" fillId="0" borderId="0" xfId="0" applyFont="1" applyBorder="1" applyAlignment="1" applyProtection="1"/>
    <xf numFmtId="0" fontId="24" fillId="0" borderId="0" xfId="0" applyFont="1" applyBorder="1" applyProtection="1"/>
    <xf numFmtId="0" fontId="0" fillId="0" borderId="1" xfId="0" applyBorder="1" applyProtection="1"/>
    <xf numFmtId="0" fontId="0" fillId="0" borderId="9" xfId="0" applyBorder="1" applyProtection="1"/>
    <xf numFmtId="0" fontId="28" fillId="0" borderId="0" xfId="0" applyFont="1" applyBorder="1" applyAlignment="1"/>
    <xf numFmtId="0" fontId="30" fillId="0" borderId="0" xfId="0" applyFont="1" applyBorder="1" applyAlignment="1"/>
    <xf numFmtId="0" fontId="30" fillId="0" borderId="0" xfId="0" applyFont="1" applyBorder="1"/>
    <xf numFmtId="0" fontId="32" fillId="0" borderId="5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/>
    </xf>
    <xf numFmtId="0" fontId="8" fillId="0" borderId="18" xfId="0" applyFont="1" applyBorder="1" applyAlignment="1" applyProtection="1">
      <alignment horizontal="center" vertical="center" readingOrder="2"/>
    </xf>
    <xf numFmtId="0" fontId="8" fillId="0" borderId="11" xfId="0" applyFont="1" applyBorder="1" applyAlignment="1">
      <alignment horizontal="center"/>
    </xf>
    <xf numFmtId="0" fontId="8" fillId="0" borderId="0" xfId="0" applyFont="1" applyBorder="1" applyAlignment="1">
      <alignment horizontal="center" vertical="center" shrinkToFit="1"/>
    </xf>
    <xf numFmtId="0" fontId="0" fillId="0" borderId="0" xfId="0" applyProtection="1">
      <protection locked="0"/>
    </xf>
    <xf numFmtId="0" fontId="20" fillId="0" borderId="0" xfId="0" applyFont="1" applyAlignment="1">
      <alignment horizontal="center" vertical="center"/>
    </xf>
    <xf numFmtId="0" fontId="8" fillId="0" borderId="11" xfId="0" applyFont="1" applyBorder="1" applyAlignment="1">
      <alignment horizontal="center"/>
    </xf>
    <xf numFmtId="0" fontId="9" fillId="0" borderId="14" xfId="0" applyFont="1" applyBorder="1" applyAlignment="1" applyProtection="1">
      <alignment horizontal="right"/>
    </xf>
    <xf numFmtId="0" fontId="9" fillId="0" borderId="15" xfId="0" applyFont="1" applyBorder="1" applyAlignment="1" applyProtection="1">
      <alignment horizontal="right"/>
    </xf>
    <xf numFmtId="0" fontId="9" fillId="0" borderId="16" xfId="0" applyFont="1" applyBorder="1" applyAlignment="1" applyProtection="1">
      <alignment horizontal="right"/>
    </xf>
    <xf numFmtId="0" fontId="8" fillId="0" borderId="22" xfId="0" applyFont="1" applyBorder="1" applyAlignment="1" applyProtection="1">
      <alignment horizontal="center"/>
    </xf>
    <xf numFmtId="0" fontId="8" fillId="0" borderId="23" xfId="0" applyFont="1" applyBorder="1" applyAlignment="1" applyProtection="1">
      <alignment horizontal="center"/>
    </xf>
    <xf numFmtId="0" fontId="7" fillId="0" borderId="8" xfId="0" applyFont="1" applyBorder="1" applyAlignment="1" applyProtection="1">
      <alignment horizontal="center"/>
    </xf>
    <xf numFmtId="0" fontId="17" fillId="0" borderId="0" xfId="0" quotePrefix="1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9" fillId="0" borderId="19" xfId="0" applyFont="1" applyBorder="1" applyAlignment="1" applyProtection="1">
      <alignment horizontal="right"/>
    </xf>
    <xf numFmtId="0" fontId="9" fillId="0" borderId="19" xfId="0" applyFont="1" applyBorder="1" applyAlignment="1" applyProtection="1">
      <alignment horizontal="right" shrinkToFit="1"/>
    </xf>
    <xf numFmtId="0" fontId="8" fillId="0" borderId="19" xfId="0" applyFont="1" applyBorder="1" applyAlignment="1" applyProtection="1">
      <alignment horizontal="right" shrinkToFit="1"/>
    </xf>
    <xf numFmtId="0" fontId="8" fillId="0" borderId="11" xfId="0" applyFont="1" applyBorder="1" applyAlignment="1" applyProtection="1">
      <alignment horizontal="center"/>
    </xf>
    <xf numFmtId="0" fontId="26" fillId="0" borderId="0" xfId="0" applyFont="1" applyBorder="1" applyAlignment="1" applyProtection="1">
      <alignment horizontal="right" shrinkToFit="1"/>
    </xf>
    <xf numFmtId="0" fontId="9" fillId="0" borderId="24" xfId="0" applyFont="1" applyBorder="1" applyAlignment="1" applyProtection="1">
      <alignment horizontal="right"/>
    </xf>
    <xf numFmtId="0" fontId="3" fillId="0" borderId="0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16" fillId="0" borderId="19" xfId="0" applyFont="1" applyBorder="1" applyAlignment="1" applyProtection="1">
      <alignment horizontal="right" shrinkToFit="1"/>
    </xf>
    <xf numFmtId="0" fontId="10" fillId="0" borderId="0" xfId="0" applyNumberFormat="1" applyFont="1" applyFill="1" applyBorder="1" applyAlignment="1" applyProtection="1">
      <alignment horizontal="right" vertical="center" shrinkToFit="1" readingOrder="2"/>
    </xf>
    <xf numFmtId="0" fontId="10" fillId="0" borderId="6" xfId="0" applyNumberFormat="1" applyFont="1" applyFill="1" applyBorder="1" applyAlignment="1" applyProtection="1">
      <alignment horizontal="right" vertical="center" shrinkToFit="1" readingOrder="2"/>
    </xf>
    <xf numFmtId="0" fontId="7" fillId="0" borderId="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17" fillId="0" borderId="0" xfId="0" quotePrefix="1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16" fillId="0" borderId="19" xfId="0" applyFont="1" applyBorder="1" applyAlignment="1">
      <alignment horizontal="right" shrinkToFit="1"/>
    </xf>
    <xf numFmtId="0" fontId="9" fillId="0" borderId="19" xfId="0" applyFont="1" applyBorder="1" applyAlignment="1">
      <alignment horizontal="right" shrinkToFit="1"/>
    </xf>
    <xf numFmtId="0" fontId="8" fillId="0" borderId="19" xfId="0" applyFont="1" applyBorder="1" applyAlignment="1">
      <alignment horizontal="right" shrinkToFit="1"/>
    </xf>
    <xf numFmtId="0" fontId="23" fillId="0" borderId="0" xfId="0" applyFont="1" applyBorder="1" applyAlignment="1">
      <alignment horizontal="right" shrinkToFit="1"/>
    </xf>
    <xf numFmtId="0" fontId="10" fillId="0" borderId="0" xfId="0" applyNumberFormat="1" applyFont="1" applyFill="1" applyBorder="1" applyAlignment="1">
      <alignment horizontal="right" vertical="center" shrinkToFit="1" readingOrder="2"/>
    </xf>
    <xf numFmtId="0" fontId="10" fillId="0" borderId="6" xfId="0" applyNumberFormat="1" applyFont="1" applyFill="1" applyBorder="1" applyAlignment="1">
      <alignment horizontal="right" vertical="center" shrinkToFit="1" readingOrder="2"/>
    </xf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9" fillId="0" borderId="19" xfId="0" applyFont="1" applyBorder="1" applyAlignment="1">
      <alignment horizontal="right"/>
    </xf>
    <xf numFmtId="0" fontId="9" fillId="0" borderId="24" xfId="0" applyFont="1" applyBorder="1" applyAlignment="1">
      <alignment horizontal="right"/>
    </xf>
    <xf numFmtId="0" fontId="9" fillId="0" borderId="14" xfId="0" applyFont="1" applyBorder="1" applyAlignment="1">
      <alignment horizontal="right"/>
    </xf>
    <xf numFmtId="0" fontId="9" fillId="0" borderId="15" xfId="0" applyFont="1" applyBorder="1" applyAlignment="1">
      <alignment horizontal="right"/>
    </xf>
    <xf numFmtId="0" fontId="9" fillId="0" borderId="16" xfId="0" applyFont="1" applyBorder="1" applyAlignment="1">
      <alignment horizontal="right"/>
    </xf>
    <xf numFmtId="0" fontId="16" fillId="0" borderId="14" xfId="0" applyFont="1" applyBorder="1" applyAlignment="1">
      <alignment horizontal="right" shrinkToFit="1"/>
    </xf>
    <xf numFmtId="0" fontId="16" fillId="0" borderId="15" xfId="0" applyFont="1" applyBorder="1" applyAlignment="1">
      <alignment horizontal="right" shrinkToFit="1"/>
    </xf>
    <xf numFmtId="0" fontId="16" fillId="0" borderId="16" xfId="0" applyFont="1" applyBorder="1" applyAlignment="1">
      <alignment horizontal="right" shrinkToFit="1"/>
    </xf>
    <xf numFmtId="0" fontId="8" fillId="0" borderId="0" xfId="0" applyFont="1" applyBorder="1" applyAlignment="1">
      <alignment horizontal="right"/>
    </xf>
    <xf numFmtId="0" fontId="0" fillId="0" borderId="0" xfId="0" applyFont="1" applyBorder="1" applyAlignment="1">
      <alignment horizontal="right" shrinkToFit="1"/>
    </xf>
    <xf numFmtId="0" fontId="16" fillId="0" borderId="14" xfId="0" applyFont="1" applyBorder="1" applyAlignment="1">
      <alignment horizontal="center" shrinkToFit="1"/>
    </xf>
    <xf numFmtId="0" fontId="16" fillId="0" borderId="15" xfId="0" applyFont="1" applyBorder="1" applyAlignment="1">
      <alignment horizontal="center" shrinkToFit="1"/>
    </xf>
    <xf numFmtId="0" fontId="16" fillId="0" borderId="16" xfId="0" applyFont="1" applyBorder="1" applyAlignment="1">
      <alignment horizontal="center" shrinkToFit="1"/>
    </xf>
    <xf numFmtId="0" fontId="31" fillId="0" borderId="0" xfId="0" applyNumberFormat="1" applyFont="1" applyFill="1" applyBorder="1" applyAlignment="1">
      <alignment horizontal="right" vertical="center" shrinkToFit="1" readingOrder="2"/>
    </xf>
    <xf numFmtId="0" fontId="31" fillId="0" borderId="6" xfId="0" applyNumberFormat="1" applyFont="1" applyFill="1" applyBorder="1" applyAlignment="1">
      <alignment horizontal="right" vertical="center" shrinkToFit="1" readingOrder="2"/>
    </xf>
    <xf numFmtId="0" fontId="8" fillId="0" borderId="0" xfId="0" applyFont="1" applyBorder="1" applyAlignment="1">
      <alignment horizontal="center" vertical="center" shrinkToFit="1"/>
    </xf>
    <xf numFmtId="0" fontId="29" fillId="0" borderId="19" xfId="0" applyFont="1" applyBorder="1" applyAlignment="1">
      <alignment horizontal="right"/>
    </xf>
    <xf numFmtId="0" fontId="29" fillId="0" borderId="24" xfId="0" applyFont="1" applyBorder="1" applyAlignment="1">
      <alignment horizontal="right"/>
    </xf>
    <xf numFmtId="165" fontId="7" fillId="0" borderId="5" xfId="0" applyNumberFormat="1" applyFont="1" applyBorder="1" applyAlignment="1" applyProtection="1">
      <alignment horizontal="center" vertical="center"/>
    </xf>
    <xf numFmtId="165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>
      <alignment horizontal="center"/>
    </xf>
    <xf numFmtId="0" fontId="7" fillId="0" borderId="5" xfId="0" applyFont="1" applyBorder="1" applyAlignment="1">
      <alignment horizontal="center"/>
    </xf>
    <xf numFmtId="165" fontId="7" fillId="0" borderId="5" xfId="0" applyNumberFormat="1" applyFont="1" applyBorder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5">
    <dxf>
      <font>
        <b/>
        <i val="0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Arial"/>
        <scheme val="none"/>
      </font>
      <alignment horizontal="right" vertical="center" textRotation="0" wrapText="0" indent="0" justifyLastLine="0" shrinkToFit="0" readingOrder="2"/>
    </dxf>
    <dxf>
      <font>
        <b/>
        <i val="0"/>
      </font>
      <alignment horizontal="center" vertical="center" textRotation="0" wrapText="0" indent="0" justifyLastLine="0" shrinkToFit="0" readingOrder="0"/>
    </dxf>
    <dxf>
      <font>
        <b/>
        <i val="0"/>
      </font>
    </dxf>
    <dxf>
      <font>
        <b/>
      </font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jpg"/><Relationship Id="rId1" Type="http://schemas.openxmlformats.org/officeDocument/2006/relationships/image" Target="../media/image4.jpg"/><Relationship Id="rId4" Type="http://schemas.openxmlformats.org/officeDocument/2006/relationships/image" Target="../media/image7.jp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12349</xdr:rowOff>
    </xdr:from>
    <xdr:to>
      <xdr:col>2</xdr:col>
      <xdr:colOff>293915</xdr:colOff>
      <xdr:row>7</xdr:row>
      <xdr:rowOff>171799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2349"/>
          <a:ext cx="1503590" cy="1512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386080</xdr:rowOff>
    </xdr:from>
    <xdr:to>
      <xdr:col>10</xdr:col>
      <xdr:colOff>1021148</xdr:colOff>
      <xdr:row>42</xdr:row>
      <xdr:rowOff>2237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4866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67</xdr:row>
      <xdr:rowOff>415925</xdr:rowOff>
    </xdr:from>
    <xdr:to>
      <xdr:col>10</xdr:col>
      <xdr:colOff>1011623</xdr:colOff>
      <xdr:row>69</xdr:row>
      <xdr:rowOff>2140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86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13969</xdr:rowOff>
    </xdr:from>
    <xdr:to>
      <xdr:col>11</xdr:col>
      <xdr:colOff>441960</xdr:colOff>
      <xdr:row>7</xdr:row>
      <xdr:rowOff>74929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185419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0</xdr:row>
      <xdr:rowOff>119912</xdr:rowOff>
    </xdr:from>
    <xdr:to>
      <xdr:col>10</xdr:col>
      <xdr:colOff>1157247</xdr:colOff>
      <xdr:row>7</xdr:row>
      <xdr:rowOff>140437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119912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43</xdr:row>
      <xdr:rowOff>83820</xdr:rowOff>
    </xdr:from>
    <xdr:to>
      <xdr:col>11</xdr:col>
      <xdr:colOff>274320</xdr:colOff>
      <xdr:row>50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59408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43</xdr:row>
      <xdr:rowOff>79375</xdr:rowOff>
    </xdr:from>
    <xdr:to>
      <xdr:col>10</xdr:col>
      <xdr:colOff>981339</xdr:colOff>
      <xdr:row>50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589635"/>
          <a:ext cx="461099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0</xdr:row>
      <xdr:rowOff>105727</xdr:rowOff>
    </xdr:from>
    <xdr:to>
      <xdr:col>5</xdr:col>
      <xdr:colOff>533400</xdr:colOff>
      <xdr:row>7</xdr:row>
      <xdr:rowOff>154622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105727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185058</xdr:colOff>
      <xdr:row>42</xdr:row>
      <xdr:rowOff>141515</xdr:rowOff>
    </xdr:from>
    <xdr:to>
      <xdr:col>2</xdr:col>
      <xdr:colOff>304801</xdr:colOff>
      <xdr:row>48</xdr:row>
      <xdr:rowOff>152400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904114" y="13008429"/>
          <a:ext cx="1328057" cy="1110343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178706</xdr:colOff>
      <xdr:row>43</xdr:row>
      <xdr:rowOff>203745</xdr:rowOff>
    </xdr:from>
    <xdr:to>
      <xdr:col>5</xdr:col>
      <xdr:colOff>138711</xdr:colOff>
      <xdr:row>49</xdr:row>
      <xdr:rowOff>106585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620918" y="13223059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 flipH="1">
          <a:off x="9981445552" y="12682855"/>
          <a:ext cx="443933" cy="301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69</xdr:row>
      <xdr:rowOff>332805</xdr:rowOff>
    </xdr:from>
    <xdr:to>
      <xdr:col>10</xdr:col>
      <xdr:colOff>1011623</xdr:colOff>
      <xdr:row>69</xdr:row>
      <xdr:rowOff>639109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 flipH="1">
          <a:off x="9981455077" y="25488330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1972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01078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1317" name="Text Box 293"/>
        <xdr:cNvSpPr txBox="1">
          <a:spLocks noChangeArrowheads="1"/>
        </xdr:cNvSpPr>
      </xdr:nvSpPr>
      <xdr:spPr bwMode="auto">
        <a:xfrm flipH="1">
          <a:off x="9981309453" y="235571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197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131020" y="143637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20" name="Text Box 293"/>
        <xdr:cNvSpPr txBox="1">
          <a:spLocks noChangeArrowheads="1"/>
        </xdr:cNvSpPr>
      </xdr:nvSpPr>
      <xdr:spPr bwMode="auto">
        <a:xfrm flipH="1">
          <a:off x="9981485361" y="14023975"/>
          <a:ext cx="447764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12" name="Picture 11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75512" y="11789"/>
          <a:ext cx="1464073" cy="1476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1318" name="Text Box 294"/>
        <xdr:cNvSpPr txBox="1">
          <a:spLocks noChangeArrowheads="1"/>
        </xdr:cNvSpPr>
      </xdr:nvSpPr>
      <xdr:spPr bwMode="auto">
        <a:xfrm flipH="1">
          <a:off x="9985086075" y="221386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83705" y="14792324"/>
          <a:ext cx="1296761" cy="111306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21" name="Text Box 294"/>
        <xdr:cNvSpPr txBox="1">
          <a:spLocks noChangeArrowheads="1"/>
        </xdr:cNvSpPr>
      </xdr:nvSpPr>
      <xdr:spPr bwMode="auto">
        <a:xfrm flipH="1">
          <a:off x="9985491649" y="14083030"/>
          <a:ext cx="2407930" cy="102679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15193</xdr:rowOff>
    </xdr:from>
    <xdr:to>
      <xdr:col>2</xdr:col>
      <xdr:colOff>293915</xdr:colOff>
      <xdr:row>7</xdr:row>
      <xdr:rowOff>178482</xdr:rowOff>
    </xdr:to>
    <xdr:pic>
      <xdr:nvPicPr>
        <xdr:cNvPr id="12" name="Picture 11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5193"/>
          <a:ext cx="1503590" cy="151583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469203</xdr:rowOff>
    </xdr:from>
    <xdr:to>
      <xdr:col>10</xdr:col>
      <xdr:colOff>1021148</xdr:colOff>
      <xdr:row>41</xdr:row>
      <xdr:rowOff>20146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2088" y="13132258"/>
          <a:ext cx="443933" cy="29908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263525</xdr:rowOff>
    </xdr:from>
    <xdr:to>
      <xdr:col>10</xdr:col>
      <xdr:colOff>1011623</xdr:colOff>
      <xdr:row>68</xdr:row>
      <xdr:rowOff>569829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609532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161607</xdr:rowOff>
    </xdr:from>
    <xdr:to>
      <xdr:col>11</xdr:col>
      <xdr:colOff>441960</xdr:colOff>
      <xdr:row>7</xdr:row>
      <xdr:rowOff>222567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33057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96100</xdr:rowOff>
    </xdr:from>
    <xdr:to>
      <xdr:col>10</xdr:col>
      <xdr:colOff>1157247</xdr:colOff>
      <xdr:row>7</xdr:row>
      <xdr:rowOff>288075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267550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794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99349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1</xdr:row>
      <xdr:rowOff>81915</xdr:rowOff>
    </xdr:from>
    <xdr:to>
      <xdr:col>5</xdr:col>
      <xdr:colOff>533400</xdr:colOff>
      <xdr:row>7</xdr:row>
      <xdr:rowOff>302260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253365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42</xdr:row>
      <xdr:rowOff>55416</xdr:rowOff>
    </xdr:from>
    <xdr:to>
      <xdr:col>2</xdr:col>
      <xdr:colOff>272143</xdr:colOff>
      <xdr:row>47</xdr:row>
      <xdr:rowOff>145466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979234"/>
          <a:ext cx="1270660" cy="10321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88257" y="13549630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39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34186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68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1798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124186</xdr:rowOff>
    </xdr:from>
    <xdr:to>
      <xdr:col>11</xdr:col>
      <xdr:colOff>441960</xdr:colOff>
      <xdr:row>7</xdr:row>
      <xdr:rowOff>185146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295636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58679</xdr:rowOff>
    </xdr:from>
    <xdr:to>
      <xdr:col>10</xdr:col>
      <xdr:colOff>1157247</xdr:colOff>
      <xdr:row>7</xdr:row>
      <xdr:rowOff>250654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0129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4493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44485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119742</xdr:colOff>
      <xdr:row>0</xdr:row>
      <xdr:rowOff>15874</xdr:rowOff>
    </xdr:from>
    <xdr:to>
      <xdr:col>2</xdr:col>
      <xdr:colOff>370116</xdr:colOff>
      <xdr:row>7</xdr:row>
      <xdr:rowOff>102958</xdr:rowOff>
    </xdr:to>
    <xdr:pic>
      <xdr:nvPicPr>
        <xdr:cNvPr id="8" name="Picture 7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97284" y="15874"/>
          <a:ext cx="1460049" cy="1439634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44494</xdr:rowOff>
    </xdr:from>
    <xdr:to>
      <xdr:col>5</xdr:col>
      <xdr:colOff>533400</xdr:colOff>
      <xdr:row>7</xdr:row>
      <xdr:rowOff>264839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6075" y="215944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41</xdr:row>
      <xdr:rowOff>87083</xdr:rowOff>
    </xdr:from>
    <xdr:to>
      <xdr:col>2</xdr:col>
      <xdr:colOff>272143</xdr:colOff>
      <xdr:row>47</xdr:row>
      <xdr:rowOff>97969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300163"/>
          <a:ext cx="1276895" cy="1123406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73017" y="13503910"/>
          <a:ext cx="2413645" cy="103060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39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30376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68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40368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124186</xdr:rowOff>
    </xdr:from>
    <xdr:to>
      <xdr:col>11</xdr:col>
      <xdr:colOff>441960</xdr:colOff>
      <xdr:row>7</xdr:row>
      <xdr:rowOff>185146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2180" y="291826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58679</xdr:rowOff>
    </xdr:from>
    <xdr:to>
      <xdr:col>10</xdr:col>
      <xdr:colOff>1157247</xdr:colOff>
      <xdr:row>7</xdr:row>
      <xdr:rowOff>250654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26319"/>
          <a:ext cx="4473852" cy="135021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4112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406755"/>
          <a:ext cx="44738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119742</xdr:colOff>
      <xdr:row>0</xdr:row>
      <xdr:rowOff>15874</xdr:rowOff>
    </xdr:from>
    <xdr:to>
      <xdr:col>2</xdr:col>
      <xdr:colOff>370116</xdr:colOff>
      <xdr:row>7</xdr:row>
      <xdr:rowOff>102958</xdr:rowOff>
    </xdr:to>
    <xdr:pic>
      <xdr:nvPicPr>
        <xdr:cNvPr id="8" name="Picture 7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97284" y="15874"/>
          <a:ext cx="1461954" cy="1412964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44494</xdr:rowOff>
    </xdr:from>
    <xdr:to>
      <xdr:col>5</xdr:col>
      <xdr:colOff>533400</xdr:colOff>
      <xdr:row>7</xdr:row>
      <xdr:rowOff>264839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0360" y="212134"/>
          <a:ext cx="2741295" cy="137858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41</xdr:row>
      <xdr:rowOff>87083</xdr:rowOff>
    </xdr:from>
    <xdr:to>
      <xdr:col>2</xdr:col>
      <xdr:colOff>272143</xdr:colOff>
      <xdr:row>47</xdr:row>
      <xdr:rowOff>97969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95257" y="13262063"/>
          <a:ext cx="1276895" cy="1123406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496817" y="13465810"/>
          <a:ext cx="2413645" cy="103060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37</xdr:row>
      <xdr:rowOff>386080</xdr:rowOff>
    </xdr:from>
    <xdr:to>
      <xdr:col>10</xdr:col>
      <xdr:colOff>1021148</xdr:colOff>
      <xdr:row>37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30581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65</xdr:row>
      <xdr:rowOff>415925</xdr:rowOff>
    </xdr:from>
    <xdr:to>
      <xdr:col>10</xdr:col>
      <xdr:colOff>1011623</xdr:colOff>
      <xdr:row>65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5390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486891</xdr:colOff>
      <xdr:row>0</xdr:row>
      <xdr:rowOff>79240</xdr:rowOff>
    </xdr:from>
    <xdr:to>
      <xdr:col>11</xdr:col>
      <xdr:colOff>503708</xdr:colOff>
      <xdr:row>6</xdr:row>
      <xdr:rowOff>137354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34242" y="79240"/>
          <a:ext cx="1445567" cy="1086814"/>
        </a:xfrm>
        <a:prstGeom prst="rect">
          <a:avLst/>
        </a:prstGeom>
      </xdr:spPr>
    </xdr:pic>
    <xdr:clientData/>
  </xdr:twoCellAnchor>
  <xdr:twoCellAnchor editAs="oneCell">
    <xdr:from>
      <xdr:col>8</xdr:col>
      <xdr:colOff>69693</xdr:colOff>
      <xdr:row>0</xdr:row>
      <xdr:rowOff>79240</xdr:rowOff>
    </xdr:from>
    <xdr:to>
      <xdr:col>8</xdr:col>
      <xdr:colOff>663460</xdr:colOff>
      <xdr:row>5</xdr:row>
      <xdr:rowOff>80744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84415" y="79240"/>
          <a:ext cx="593767" cy="858754"/>
        </a:xfrm>
        <a:prstGeom prst="rect">
          <a:avLst/>
        </a:prstGeom>
      </xdr:spPr>
    </xdr:pic>
    <xdr:clientData/>
  </xdr:twoCellAnchor>
  <xdr:twoCellAnchor editAs="oneCell">
    <xdr:from>
      <xdr:col>4</xdr:col>
      <xdr:colOff>658992</xdr:colOff>
      <xdr:row>0</xdr:row>
      <xdr:rowOff>79240</xdr:rowOff>
    </xdr:from>
    <xdr:to>
      <xdr:col>5</xdr:col>
      <xdr:colOff>226832</xdr:colOff>
      <xdr:row>5</xdr:row>
      <xdr:rowOff>103643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92643" y="79240"/>
          <a:ext cx="701315" cy="881653"/>
        </a:xfrm>
        <a:prstGeom prst="rect">
          <a:avLst/>
        </a:prstGeom>
      </xdr:spPr>
    </xdr:pic>
    <xdr:clientData/>
  </xdr:twoCellAnchor>
  <xdr:twoCellAnchor editAs="oneCell">
    <xdr:from>
      <xdr:col>0</xdr:col>
      <xdr:colOff>75121</xdr:colOff>
      <xdr:row>0</xdr:row>
      <xdr:rowOff>79240</xdr:rowOff>
    </xdr:from>
    <xdr:to>
      <xdr:col>3</xdr:col>
      <xdr:colOff>33464</xdr:colOff>
      <xdr:row>6</xdr:row>
      <xdr:rowOff>52419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24336" y="79240"/>
          <a:ext cx="1777618" cy="1001879"/>
        </a:xfrm>
        <a:prstGeom prst="rect">
          <a:avLst/>
        </a:prstGeom>
      </xdr:spPr>
    </xdr:pic>
    <xdr:clientData/>
  </xdr:twoCellAnchor>
  <xdr:twoCellAnchor editAs="oneCell">
    <xdr:from>
      <xdr:col>10</xdr:col>
      <xdr:colOff>510830</xdr:colOff>
      <xdr:row>40</xdr:row>
      <xdr:rowOff>99060</xdr:rowOff>
    </xdr:from>
    <xdr:to>
      <xdr:col>11</xdr:col>
      <xdr:colOff>527647</xdr:colOff>
      <xdr:row>46</xdr:row>
      <xdr:rowOff>35254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06493" y="13426440"/>
          <a:ext cx="1449377" cy="1063954"/>
        </a:xfrm>
        <a:prstGeom prst="rect">
          <a:avLst/>
        </a:prstGeom>
      </xdr:spPr>
    </xdr:pic>
    <xdr:clientData/>
  </xdr:twoCellAnchor>
  <xdr:twoCellAnchor editAs="oneCell">
    <xdr:from>
      <xdr:col>8</xdr:col>
      <xdr:colOff>93632</xdr:colOff>
      <xdr:row>40</xdr:row>
      <xdr:rowOff>99060</xdr:rowOff>
    </xdr:from>
    <xdr:to>
      <xdr:col>8</xdr:col>
      <xdr:colOff>687399</xdr:colOff>
      <xdr:row>44</xdr:row>
      <xdr:rowOff>146284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62381" y="13426440"/>
          <a:ext cx="593767" cy="839704"/>
        </a:xfrm>
        <a:prstGeom prst="rect">
          <a:avLst/>
        </a:prstGeom>
      </xdr:spPr>
    </xdr:pic>
    <xdr:clientData/>
  </xdr:twoCellAnchor>
  <xdr:twoCellAnchor editAs="oneCell">
    <xdr:from>
      <xdr:col>4</xdr:col>
      <xdr:colOff>682931</xdr:colOff>
      <xdr:row>40</xdr:row>
      <xdr:rowOff>99060</xdr:rowOff>
    </xdr:from>
    <xdr:to>
      <xdr:col>5</xdr:col>
      <xdr:colOff>250771</xdr:colOff>
      <xdr:row>45</xdr:row>
      <xdr:rowOff>1543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70609" y="13426440"/>
          <a:ext cx="703220" cy="862603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40</xdr:row>
      <xdr:rowOff>99060</xdr:rowOff>
    </xdr:from>
    <xdr:to>
      <xdr:col>3</xdr:col>
      <xdr:colOff>57403</xdr:colOff>
      <xdr:row>45</xdr:row>
      <xdr:rowOff>117959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08017" y="13426440"/>
          <a:ext cx="1779523" cy="97901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646660"/>
          <a:ext cx="443933" cy="29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69</xdr:row>
      <xdr:rowOff>332805</xdr:rowOff>
    </xdr:from>
    <xdr:to>
      <xdr:col>10</xdr:col>
      <xdr:colOff>1011623</xdr:colOff>
      <xdr:row>69</xdr:row>
      <xdr:rowOff>639109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463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2180" y="297268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1761"/>
          <a:ext cx="4481472" cy="135021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0320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985875"/>
          <a:ext cx="4481459" cy="134445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8" name="Picture 7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83132" y="11789"/>
          <a:ext cx="1465978" cy="14493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7980" y="217576"/>
          <a:ext cx="2741295" cy="137858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24650" y="13973174"/>
          <a:ext cx="1298666" cy="110163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493554" y="14044930"/>
          <a:ext cx="2413645" cy="101536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605;&#1581;&#1575;&#1590;&#1585;%20&#1576;&#1606;&#1603;%20&#1605;&#1589;&#1585;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%23%23COMMITTEE%20FORMES/&#1575;&#1604;&#1605;&#1581;&#1575;&#1590;&#1585;%20&#1608;%20&#1575;&#1604;&#1578;&#1593;&#1586;&#1610;&#1586;/2020-11-08_&#1605;&#1581;&#1575;&#1590;&#1585;_&#1575;&#1604;&#1604;&#1580;&#1606;&#1577;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يدى فى ايدك"/>
      <sheetName val="البنك الاهلى"/>
      <sheetName val="بنك مصر"/>
      <sheetName val="DATA"/>
    </sheetNames>
    <sheetDataSet>
      <sheetData sheetId="0" refreshError="1"/>
      <sheetData sheetId="1" refreshError="1"/>
      <sheetData sheetId="2" refreshError="1"/>
      <sheetData sheetId="3" refreshError="1">
        <row r="3">
          <cell r="B3">
            <v>1</v>
          </cell>
          <cell r="C3" t="str">
            <v xml:space="preserve">عماد جميل امين </v>
          </cell>
          <cell r="D3" t="str">
            <v>مدير برنامج التمويل المتناهي الصغر</v>
          </cell>
        </row>
        <row r="4">
          <cell r="B4">
            <v>2</v>
          </cell>
          <cell r="C4" t="str">
            <v>مجدى ابواليمين</v>
          </cell>
          <cell r="D4" t="str">
            <v>نائب مدير برنامج التمويل المتناهي الصغر</v>
          </cell>
        </row>
        <row r="5">
          <cell r="B5">
            <v>3</v>
          </cell>
          <cell r="C5" t="str">
            <v>مدحت رمزى يوسف</v>
          </cell>
          <cell r="D5" t="str">
            <v>مدير التمويل متناهى الصغر بمحافظة سوهاج</v>
          </cell>
        </row>
        <row r="6">
          <cell r="B6">
            <v>4</v>
          </cell>
          <cell r="C6" t="str">
            <v>شريف صدقى عبدالمسيح</v>
          </cell>
          <cell r="D6" t="str">
            <v>مدير التمويل متناهى الصغر بمحافظة اسيوط</v>
          </cell>
        </row>
        <row r="7">
          <cell r="B7">
            <v>5</v>
          </cell>
          <cell r="C7" t="str">
            <v>ايمن ناجح شوقى</v>
          </cell>
          <cell r="D7" t="str">
            <v>نائب مدير التمويل متناهى الصغر بمحافظة الاقصر</v>
          </cell>
        </row>
        <row r="8">
          <cell r="B8">
            <v>6</v>
          </cell>
          <cell r="C8" t="str">
            <v>لطفى عزيز ابراهيم</v>
          </cell>
          <cell r="D8" t="str">
            <v>نائب مدير التمويل متناهى الصغر بمحافظة سوهاج</v>
          </cell>
        </row>
        <row r="9">
          <cell r="B9">
            <v>7</v>
          </cell>
          <cell r="C9" t="str">
            <v>اكرم وليم غبريال</v>
          </cell>
          <cell r="D9" t="str">
            <v>نائب مدير التمويل متناهى الصغر بمحافظة اسيوط</v>
          </cell>
        </row>
        <row r="10">
          <cell r="B10">
            <v>8</v>
          </cell>
          <cell r="C10" t="str">
            <v>سامح بلامون عبدالسيد</v>
          </cell>
          <cell r="D10" t="str">
            <v>مدير التمويل متناهى الصغر بمحافظة قنا</v>
          </cell>
        </row>
        <row r="11">
          <cell r="B11">
            <v>9</v>
          </cell>
          <cell r="C11" t="str">
            <v>عماد كمال ايوب</v>
          </cell>
          <cell r="D11" t="str">
            <v>مراجع أول برامج التمويل متناهى الصغر</v>
          </cell>
        </row>
        <row r="12">
          <cell r="B12">
            <v>10</v>
          </cell>
          <cell r="C12" t="str">
            <v>عادل اديب ناشد</v>
          </cell>
          <cell r="D12" t="str">
            <v>مشرف حسابات برامج التمويل متناهى الصغر</v>
          </cell>
        </row>
        <row r="13">
          <cell r="B13">
            <v>11</v>
          </cell>
          <cell r="C13" t="str">
            <v>جورج راشد</v>
          </cell>
          <cell r="D13" t="str">
            <v>مدير مكتب التمويل متناهى الصغر بجهينة</v>
          </cell>
        </row>
        <row r="14">
          <cell r="B14">
            <v>12</v>
          </cell>
          <cell r="C14" t="str">
            <v>أليصابات عادل</v>
          </cell>
          <cell r="D14" t="str">
            <v>مدير التمويل متناهى الصغر بمحافظة الاقصر</v>
          </cell>
        </row>
        <row r="15">
          <cell r="B15">
            <v>13</v>
          </cell>
          <cell r="C15" t="str">
            <v>مايكل حنا يوسف</v>
          </cell>
          <cell r="D15" t="str">
            <v>مدير فرع التمويل متناهى الصغر بالقوصيه</v>
          </cell>
        </row>
        <row r="16">
          <cell r="B16">
            <v>14</v>
          </cell>
          <cell r="C16" t="str">
            <v>يوسف قاعود منصور</v>
          </cell>
          <cell r="D16" t="str">
            <v>مدير فرع التمويل متناهى الصغر بابوتشت</v>
          </cell>
        </row>
        <row r="17">
          <cell r="B17">
            <v>15</v>
          </cell>
          <cell r="C17" t="str">
            <v>مينا فواز سيدهم</v>
          </cell>
          <cell r="D17" t="str">
            <v>مدير فرع التمويل متناهى الصغر بالمريس</v>
          </cell>
        </row>
        <row r="18">
          <cell r="B18">
            <v>16</v>
          </cell>
          <cell r="C18" t="str">
            <v>مينا شهدى</v>
          </cell>
          <cell r="D18" t="str">
            <v>مشرف حسابات برامج التمويل متناهى الصغر</v>
          </cell>
        </row>
        <row r="19">
          <cell r="B19">
            <v>17</v>
          </cell>
          <cell r="C19" t="str">
            <v>ادور فوزى عزمى</v>
          </cell>
          <cell r="D19" t="str">
            <v>رئيس مجموعة مكتب التمويل متناهى الصغر بمحافظة قنا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0-11-08_محاضر_اللجنة"/>
      <sheetName val="DATA"/>
    </sheetNames>
    <sheetDataSet>
      <sheetData sheetId="0" refreshError="1"/>
      <sheetData sheetId="1" refreshError="1"/>
    </sheetDataSet>
  </externalBook>
</externalLink>
</file>

<file path=xl/tables/table1.xml><?xml version="1.0" encoding="utf-8"?>
<table xmlns="http://schemas.openxmlformats.org/spreadsheetml/2006/main" id="1" name="Table1" displayName="Table1" ref="B2:D13" totalsRowShown="0" headerRowDxfId="4" dataDxfId="3">
  <autoFilter ref="B2:D13"/>
  <sortState ref="B3:D13">
    <sortCondition ref="B2:B13"/>
  </sortState>
  <tableColumns count="3">
    <tableColumn id="1" name="الكود" dataDxfId="2"/>
    <tableColumn id="2" name="الاسم" dataDxfId="1"/>
    <tableColumn id="3" name="الوظيفة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</sheetPr>
  <dimension ref="A1:N69"/>
  <sheetViews>
    <sheetView rightToLeft="1" view="pageBreakPreview" topLeftCell="A27" zoomScale="90" zoomScaleNormal="100" zoomScaleSheetLayoutView="90" workbookViewId="0">
      <selection activeCell="M40" sqref="M40:N40"/>
    </sheetView>
  </sheetViews>
  <sheetFormatPr defaultColWidth="8.88671875" defaultRowHeight="13.2" x14ac:dyDescent="0.25"/>
  <cols>
    <col min="1" max="1" width="5.109375" style="81" customWidth="1"/>
    <col min="2" max="2" width="12.5546875" style="81" customWidth="1"/>
    <col min="3" max="3" width="8.88671875" style="81" customWidth="1"/>
    <col min="4" max="4" width="10.33203125" style="81" customWidth="1"/>
    <col min="5" max="5" width="16.5546875" style="81" bestFit="1" customWidth="1"/>
    <col min="6" max="6" width="8.88671875" style="81"/>
    <col min="7" max="7" width="5.33203125" style="81" customWidth="1"/>
    <col min="8" max="8" width="5.6640625" style="81" customWidth="1"/>
    <col min="9" max="9" width="15.109375" style="81" customWidth="1"/>
    <col min="10" max="10" width="10.88671875" style="81" customWidth="1"/>
    <col min="11" max="11" width="20.88671875" style="81" customWidth="1"/>
    <col min="12" max="12" width="8.88671875" style="81" customWidth="1"/>
    <col min="13" max="13" width="9.6640625" style="81" customWidth="1"/>
    <col min="14" max="16384" width="8.88671875" style="81"/>
  </cols>
  <sheetData>
    <row r="1" spans="1:12" x14ac:dyDescent="0.25">
      <c r="A1" s="78"/>
      <c r="B1" s="79"/>
      <c r="C1" s="79"/>
      <c r="D1" s="79"/>
      <c r="E1" s="79"/>
      <c r="F1" s="79"/>
      <c r="G1" s="79"/>
      <c r="H1" s="79"/>
      <c r="I1" s="79"/>
      <c r="J1" s="79"/>
      <c r="K1" s="79"/>
      <c r="L1" s="80"/>
    </row>
    <row r="2" spans="1:12" x14ac:dyDescent="0.25">
      <c r="A2" s="82"/>
      <c r="B2" s="83"/>
      <c r="C2" s="83"/>
      <c r="D2" s="83"/>
      <c r="E2" s="83"/>
      <c r="F2" s="83"/>
      <c r="G2" s="83"/>
      <c r="H2" s="83"/>
      <c r="I2" s="83"/>
      <c r="J2" s="83"/>
      <c r="K2" s="83"/>
      <c r="L2" s="84"/>
    </row>
    <row r="3" spans="1:12" x14ac:dyDescent="0.25">
      <c r="A3" s="82"/>
      <c r="B3" s="83"/>
      <c r="C3" s="83"/>
      <c r="D3" s="83"/>
      <c r="E3" s="83"/>
      <c r="F3" s="83"/>
      <c r="G3" s="83"/>
      <c r="H3" s="83"/>
      <c r="I3" s="83"/>
      <c r="J3" s="83"/>
      <c r="K3" s="83"/>
      <c r="L3" s="84"/>
    </row>
    <row r="4" spans="1:12" x14ac:dyDescent="0.25">
      <c r="A4" s="82"/>
      <c r="B4" s="83"/>
      <c r="C4" s="83"/>
      <c r="D4" s="83"/>
      <c r="E4" s="83"/>
      <c r="F4" s="83"/>
      <c r="G4" s="83"/>
      <c r="H4" s="83"/>
      <c r="I4" s="83"/>
      <c r="J4" s="83"/>
      <c r="K4" s="83"/>
      <c r="L4" s="84"/>
    </row>
    <row r="5" spans="1:12" x14ac:dyDescent="0.25">
      <c r="A5" s="82"/>
      <c r="B5" s="83"/>
      <c r="C5" s="83"/>
      <c r="D5" s="83"/>
      <c r="E5" s="83"/>
      <c r="F5" s="83"/>
      <c r="G5" s="83"/>
      <c r="H5" s="83"/>
      <c r="I5" s="83"/>
      <c r="J5" s="83"/>
      <c r="K5" s="83"/>
      <c r="L5" s="84"/>
    </row>
    <row r="6" spans="1:12" x14ac:dyDescent="0.25">
      <c r="A6" s="82"/>
      <c r="B6" s="83"/>
      <c r="C6" s="83"/>
      <c r="D6" s="83"/>
      <c r="E6" s="83"/>
      <c r="F6" s="83"/>
      <c r="G6" s="83"/>
      <c r="H6" s="83"/>
      <c r="I6" s="83"/>
      <c r="J6" s="83"/>
      <c r="K6" s="83"/>
      <c r="L6" s="84"/>
    </row>
    <row r="7" spans="1:12" ht="25.5" customHeight="1" x14ac:dyDescent="0.25">
      <c r="A7" s="82"/>
      <c r="B7" s="83"/>
      <c r="C7" s="83"/>
      <c r="D7" s="83"/>
      <c r="E7" s="83"/>
      <c r="F7" s="83"/>
      <c r="G7" s="83"/>
      <c r="H7" s="83"/>
      <c r="I7" s="83"/>
      <c r="J7" s="83"/>
      <c r="K7" s="83"/>
      <c r="L7" s="84"/>
    </row>
    <row r="8" spans="1:12" ht="56.25" customHeight="1" x14ac:dyDescent="0.4">
      <c r="A8" s="82"/>
      <c r="B8" s="153" t="s">
        <v>24</v>
      </c>
      <c r="C8" s="154"/>
      <c r="D8" s="154"/>
      <c r="E8" s="154"/>
      <c r="F8" s="154"/>
      <c r="G8" s="154"/>
      <c r="H8" s="154"/>
      <c r="I8" s="154"/>
      <c r="J8" s="154"/>
      <c r="K8" s="83"/>
      <c r="L8" s="84"/>
    </row>
    <row r="9" spans="1:12" ht="16.5" customHeight="1" x14ac:dyDescent="0.25">
      <c r="A9" s="82"/>
      <c r="B9" s="83"/>
      <c r="C9" s="83"/>
      <c r="D9" s="83"/>
      <c r="E9" s="83"/>
      <c r="F9" s="83"/>
      <c r="G9" s="83"/>
      <c r="H9" s="83"/>
      <c r="I9" s="83"/>
      <c r="J9" s="83"/>
      <c r="K9" s="83"/>
      <c r="L9" s="84"/>
    </row>
    <row r="10" spans="1:12" s="90" customFormat="1" ht="22.8" x14ac:dyDescent="0.4">
      <c r="A10" s="85"/>
      <c r="B10" s="86" t="s">
        <v>0</v>
      </c>
      <c r="C10" s="87">
        <f>E10</f>
        <v>0</v>
      </c>
      <c r="D10" s="86" t="s">
        <v>1</v>
      </c>
      <c r="E10" s="66"/>
      <c r="F10" s="86" t="s">
        <v>25</v>
      </c>
      <c r="G10" s="86"/>
      <c r="H10" s="86"/>
      <c r="I10" s="86"/>
      <c r="J10" s="86"/>
      <c r="K10" s="88"/>
      <c r="L10" s="89"/>
    </row>
    <row r="11" spans="1:12" s="90" customFormat="1" ht="28.2" customHeight="1" x14ac:dyDescent="0.4">
      <c r="A11" s="67" t="s">
        <v>81</v>
      </c>
      <c r="B11" s="91" t="str">
        <f>IFERROR(VLOOKUP(A11,Table1[#All],2,0),"")</f>
        <v/>
      </c>
      <c r="C11" s="91"/>
      <c r="D11" s="91"/>
      <c r="E11" s="92"/>
      <c r="F11" s="151" t="str">
        <f>IFERROR(VLOOKUP(A11,Table1[#All],3,0),"")</f>
        <v/>
      </c>
      <c r="G11" s="151"/>
      <c r="H11" s="151"/>
      <c r="I11" s="151"/>
      <c r="J11" s="151"/>
      <c r="K11" s="93" t="s">
        <v>32</v>
      </c>
      <c r="L11" s="94"/>
    </row>
    <row r="12" spans="1:12" s="90" customFormat="1" ht="28.2" customHeight="1" x14ac:dyDescent="0.4">
      <c r="A12" s="67" t="s">
        <v>81</v>
      </c>
      <c r="B12" s="91" t="str">
        <f>IFERROR(VLOOKUP(A12,Table1[#All],2,0),"")</f>
        <v/>
      </c>
      <c r="C12" s="91"/>
      <c r="D12" s="91"/>
      <c r="E12" s="92"/>
      <c r="F12" s="151" t="str">
        <f>IFERROR(VLOOKUP(A12,Table1[#All],3,0),"")</f>
        <v/>
      </c>
      <c r="G12" s="151"/>
      <c r="H12" s="151"/>
      <c r="I12" s="151"/>
      <c r="J12" s="151"/>
      <c r="K12" s="93" t="s">
        <v>32</v>
      </c>
      <c r="L12" s="94"/>
    </row>
    <row r="13" spans="1:12" s="90" customFormat="1" ht="28.2" customHeight="1" x14ac:dyDescent="0.4">
      <c r="A13" s="67" t="s">
        <v>81</v>
      </c>
      <c r="B13" s="91" t="str">
        <f>IFERROR(VLOOKUP(A13,Table1[#All],2,0),"")</f>
        <v/>
      </c>
      <c r="C13" s="91"/>
      <c r="D13" s="91"/>
      <c r="E13" s="92"/>
      <c r="F13" s="151" t="str">
        <f>IFERROR(VLOOKUP(A13,Table1[#All],3,0),"")</f>
        <v/>
      </c>
      <c r="G13" s="151"/>
      <c r="H13" s="151"/>
      <c r="I13" s="151"/>
      <c r="J13" s="151"/>
      <c r="K13" s="93" t="s">
        <v>32</v>
      </c>
      <c r="L13" s="94"/>
    </row>
    <row r="14" spans="1:12" s="90" customFormat="1" ht="28.2" customHeight="1" x14ac:dyDescent="0.4">
      <c r="A14" s="67" t="s">
        <v>81</v>
      </c>
      <c r="B14" s="91" t="str">
        <f>IFERROR(VLOOKUP(A14,Table1[#All],2,0),"")</f>
        <v/>
      </c>
      <c r="C14" s="91"/>
      <c r="D14" s="91"/>
      <c r="E14" s="92"/>
      <c r="F14" s="151" t="str">
        <f>IFERROR(VLOOKUP(A14,Table1[#All],3,0),"")</f>
        <v/>
      </c>
      <c r="G14" s="151"/>
      <c r="H14" s="151"/>
      <c r="I14" s="151"/>
      <c r="J14" s="151"/>
      <c r="K14" s="93" t="s">
        <v>32</v>
      </c>
      <c r="L14" s="94"/>
    </row>
    <row r="15" spans="1:12" s="90" customFormat="1" ht="28.2" customHeight="1" x14ac:dyDescent="0.4">
      <c r="A15" s="67" t="s">
        <v>81</v>
      </c>
      <c r="B15" s="91" t="str">
        <f>IFERROR(VLOOKUP(A15,Table1[#All],2,0),"")</f>
        <v/>
      </c>
      <c r="C15" s="91"/>
      <c r="D15" s="91"/>
      <c r="E15" s="92"/>
      <c r="F15" s="151" t="str">
        <f>IFERROR(VLOOKUP(A15,Table1[#All],3,0),"")</f>
        <v/>
      </c>
      <c r="G15" s="151"/>
      <c r="H15" s="151"/>
      <c r="I15" s="151"/>
      <c r="J15" s="151"/>
      <c r="K15" s="93" t="s">
        <v>32</v>
      </c>
      <c r="L15" s="94"/>
    </row>
    <row r="16" spans="1:12" s="90" customFormat="1" ht="28.2" customHeight="1" x14ac:dyDescent="0.4">
      <c r="A16" s="67" t="s">
        <v>81</v>
      </c>
      <c r="B16" s="91" t="str">
        <f>IFERROR(VLOOKUP(A16,Table1[#All],2,0),"")</f>
        <v/>
      </c>
      <c r="C16" s="91"/>
      <c r="D16" s="91"/>
      <c r="E16" s="92"/>
      <c r="F16" s="151" t="str">
        <f>IFERROR(VLOOKUP(A16,Table1[#All],3,0),"")</f>
        <v/>
      </c>
      <c r="G16" s="151"/>
      <c r="H16" s="151"/>
      <c r="I16" s="151"/>
      <c r="J16" s="151"/>
      <c r="K16" s="93" t="s">
        <v>32</v>
      </c>
      <c r="L16" s="94"/>
    </row>
    <row r="17" spans="1:13" s="90" customFormat="1" ht="28.2" customHeight="1" x14ac:dyDescent="0.4">
      <c r="A17" s="67" t="s">
        <v>81</v>
      </c>
      <c r="B17" s="91" t="str">
        <f>IFERROR(VLOOKUP(A17,Table1[#All],2,0),"")</f>
        <v/>
      </c>
      <c r="C17" s="91"/>
      <c r="D17" s="91"/>
      <c r="E17" s="92"/>
      <c r="F17" s="151" t="str">
        <f>IFERROR(VLOOKUP(A17,Table1[#All],3,0),"")</f>
        <v/>
      </c>
      <c r="G17" s="151"/>
      <c r="H17" s="151"/>
      <c r="I17" s="151"/>
      <c r="J17" s="151"/>
      <c r="K17" s="93" t="s">
        <v>32</v>
      </c>
      <c r="L17" s="94"/>
    </row>
    <row r="18" spans="1:13" s="90" customFormat="1" ht="28.2" customHeight="1" x14ac:dyDescent="0.4">
      <c r="A18" s="67" t="s">
        <v>81</v>
      </c>
      <c r="B18" s="91" t="str">
        <f>IFERROR(VLOOKUP(A18,Table1[#All],2,0),"")</f>
        <v/>
      </c>
      <c r="C18" s="91"/>
      <c r="D18" s="91"/>
      <c r="E18" s="92"/>
      <c r="F18" s="151" t="str">
        <f>IFERROR(VLOOKUP(A18,Table1[#All],3,0),"")</f>
        <v/>
      </c>
      <c r="G18" s="151"/>
      <c r="H18" s="151"/>
      <c r="I18" s="151"/>
      <c r="J18" s="151"/>
      <c r="K18" s="93" t="s">
        <v>32</v>
      </c>
      <c r="L18" s="94"/>
    </row>
    <row r="19" spans="1:13" s="90" customFormat="1" ht="28.2" customHeight="1" x14ac:dyDescent="0.4">
      <c r="A19" s="67" t="s">
        <v>81</v>
      </c>
      <c r="B19" s="91" t="str">
        <f>IFERROR(VLOOKUP(A19,Table1[#All],2,0),"")</f>
        <v/>
      </c>
      <c r="C19" s="91"/>
      <c r="D19" s="91"/>
      <c r="E19" s="92"/>
      <c r="F19" s="151" t="str">
        <f>IFERROR(VLOOKUP(A19,Table1[#All],3,0),"")</f>
        <v/>
      </c>
      <c r="G19" s="151"/>
      <c r="H19" s="151"/>
      <c r="I19" s="151"/>
      <c r="J19" s="151"/>
      <c r="K19" s="93" t="s">
        <v>32</v>
      </c>
      <c r="L19" s="94"/>
    </row>
    <row r="20" spans="1:13" ht="28.2" customHeight="1" x14ac:dyDescent="0.4">
      <c r="A20" s="68" t="s">
        <v>81</v>
      </c>
      <c r="B20" s="91" t="str">
        <f>IFERROR(VLOOKUP(A20,Table1[#All],2,0),"")</f>
        <v/>
      </c>
      <c r="C20" s="83"/>
      <c r="D20" s="83"/>
      <c r="E20" s="83"/>
      <c r="F20" s="151" t="str">
        <f>IFERROR(VLOOKUP(A20,Table1[#All],3,0),"")</f>
        <v/>
      </c>
      <c r="G20" s="151"/>
      <c r="H20" s="151"/>
      <c r="I20" s="151"/>
      <c r="J20" s="151"/>
      <c r="K20" s="93" t="s">
        <v>32</v>
      </c>
      <c r="L20" s="96"/>
    </row>
    <row r="21" spans="1:13" ht="24" customHeight="1" x14ac:dyDescent="0.4">
      <c r="A21" s="82"/>
      <c r="B21" s="97" t="s">
        <v>41</v>
      </c>
      <c r="C21" s="97"/>
      <c r="D21" s="97"/>
      <c r="E21" s="97"/>
      <c r="F21" s="97"/>
      <c r="G21" s="97"/>
      <c r="H21" s="97"/>
      <c r="I21" s="97" t="s">
        <v>42</v>
      </c>
      <c r="J21" s="98" t="s">
        <v>27</v>
      </c>
      <c r="K21" s="97"/>
      <c r="L21" s="99"/>
      <c r="M21" s="100"/>
    </row>
    <row r="22" spans="1:13" ht="29.25" customHeight="1" x14ac:dyDescent="0.4">
      <c r="A22" s="82"/>
      <c r="B22" s="98" t="s">
        <v>55</v>
      </c>
      <c r="C22" s="97"/>
      <c r="D22" s="97"/>
      <c r="E22" s="97"/>
      <c r="F22" s="69"/>
      <c r="G22" s="101" t="s">
        <v>2</v>
      </c>
      <c r="H22" s="102"/>
      <c r="I22" s="70"/>
      <c r="J22" s="156" t="str">
        <f>NoToTxt(I22,"جنيها","قرش")&amp;" لاغير"</f>
        <v>صفر لاغير</v>
      </c>
      <c r="K22" s="156"/>
      <c r="L22" s="157"/>
      <c r="M22" s="100"/>
    </row>
    <row r="23" spans="1:13" ht="29.25" customHeight="1" x14ac:dyDescent="0.4">
      <c r="A23" s="82"/>
      <c r="B23" s="97" t="s">
        <v>13</v>
      </c>
      <c r="C23" s="97"/>
      <c r="D23" s="97"/>
      <c r="E23" s="97"/>
      <c r="F23" s="97"/>
      <c r="G23" s="97"/>
      <c r="H23" s="97"/>
      <c r="I23" s="97"/>
      <c r="J23" s="97"/>
      <c r="K23" s="97"/>
      <c r="L23" s="99"/>
      <c r="M23" s="100"/>
    </row>
    <row r="24" spans="1:13" ht="29.25" customHeight="1" thickBot="1" x14ac:dyDescent="0.45">
      <c r="A24" s="82"/>
      <c r="B24" s="97" t="s">
        <v>26</v>
      </c>
      <c r="C24" s="97"/>
      <c r="D24" s="97"/>
      <c r="E24" s="97"/>
      <c r="F24" s="97"/>
      <c r="G24" s="97"/>
      <c r="H24" s="97"/>
      <c r="I24" s="97"/>
      <c r="J24" s="97"/>
      <c r="K24" s="97"/>
      <c r="L24" s="99"/>
      <c r="M24" s="100"/>
    </row>
    <row r="25" spans="1:13" ht="22.8" x14ac:dyDescent="0.4">
      <c r="A25" s="82"/>
      <c r="B25" s="103"/>
      <c r="C25" s="104" t="s">
        <v>3</v>
      </c>
      <c r="D25" s="150" t="s">
        <v>6</v>
      </c>
      <c r="E25" s="150"/>
      <c r="F25" s="150"/>
      <c r="G25" s="150"/>
      <c r="H25" s="150"/>
      <c r="I25" s="150"/>
      <c r="J25" s="105" t="s">
        <v>5</v>
      </c>
      <c r="K25" s="106" t="s">
        <v>4</v>
      </c>
      <c r="L25" s="107"/>
      <c r="M25" s="100"/>
    </row>
    <row r="26" spans="1:13" ht="28.95" customHeight="1" x14ac:dyDescent="0.4">
      <c r="A26" s="82"/>
      <c r="B26" s="103"/>
      <c r="C26" s="108">
        <v>1</v>
      </c>
      <c r="D26" s="155" t="s">
        <v>46</v>
      </c>
      <c r="E26" s="155"/>
      <c r="F26" s="155"/>
      <c r="G26" s="155"/>
      <c r="H26" s="155"/>
      <c r="I26" s="155"/>
      <c r="J26" s="73"/>
      <c r="K26" s="75"/>
      <c r="L26" s="99"/>
      <c r="M26" s="100"/>
    </row>
    <row r="27" spans="1:13" ht="28.95" customHeight="1" x14ac:dyDescent="0.4">
      <c r="A27" s="82"/>
      <c r="B27" s="103"/>
      <c r="C27" s="108">
        <v>2</v>
      </c>
      <c r="D27" s="155" t="s">
        <v>47</v>
      </c>
      <c r="E27" s="155"/>
      <c r="F27" s="155"/>
      <c r="G27" s="155"/>
      <c r="H27" s="155"/>
      <c r="I27" s="155"/>
      <c r="J27" s="73"/>
      <c r="K27" s="75"/>
      <c r="L27" s="99"/>
      <c r="M27" s="100"/>
    </row>
    <row r="28" spans="1:13" ht="30.75" hidden="1" customHeight="1" x14ac:dyDescent="0.4">
      <c r="A28" s="82"/>
      <c r="B28" s="103"/>
      <c r="C28" s="108"/>
      <c r="D28" s="148"/>
      <c r="E28" s="149"/>
      <c r="F28" s="149"/>
      <c r="G28" s="149"/>
      <c r="H28" s="149"/>
      <c r="I28" s="149"/>
      <c r="J28" s="73"/>
      <c r="K28" s="74"/>
      <c r="L28" s="99"/>
      <c r="M28" s="100"/>
    </row>
    <row r="29" spans="1:13" ht="30.75" hidden="1" customHeight="1" x14ac:dyDescent="0.4">
      <c r="A29" s="82"/>
      <c r="B29" s="103"/>
      <c r="C29" s="108"/>
      <c r="D29" s="148"/>
      <c r="E29" s="149"/>
      <c r="F29" s="149"/>
      <c r="G29" s="149"/>
      <c r="H29" s="149"/>
      <c r="I29" s="149"/>
      <c r="J29" s="73"/>
      <c r="K29" s="74"/>
      <c r="L29" s="99"/>
      <c r="M29" s="100"/>
    </row>
    <row r="30" spans="1:13" ht="30.75" customHeight="1" thickBot="1" x14ac:dyDescent="0.45">
      <c r="A30" s="82"/>
      <c r="B30" s="103"/>
      <c r="C30" s="141" t="s">
        <v>9</v>
      </c>
      <c r="D30" s="142"/>
      <c r="E30" s="142"/>
      <c r="F30" s="142"/>
      <c r="G30" s="142"/>
      <c r="H30" s="142"/>
      <c r="I30" s="142"/>
      <c r="J30" s="109">
        <f>SUM(J26:J27)</f>
        <v>0</v>
      </c>
      <c r="K30" s="109">
        <f>SUM(K26:K27)</f>
        <v>0</v>
      </c>
      <c r="L30" s="99"/>
      <c r="M30" s="100"/>
    </row>
    <row r="31" spans="1:13" ht="29.25" customHeight="1" thickBot="1" x14ac:dyDescent="0.45">
      <c r="A31" s="82"/>
      <c r="B31" s="97" t="s">
        <v>10</v>
      </c>
      <c r="C31" s="97"/>
      <c r="D31" s="97"/>
      <c r="E31" s="97"/>
      <c r="F31" s="97"/>
      <c r="G31" s="97"/>
      <c r="H31" s="97"/>
      <c r="I31" s="97"/>
      <c r="J31" s="97"/>
      <c r="K31" s="97"/>
      <c r="L31" s="99"/>
      <c r="M31" s="100"/>
    </row>
    <row r="32" spans="1:13" ht="22.8" x14ac:dyDescent="0.4">
      <c r="A32" s="82"/>
      <c r="B32" s="103"/>
      <c r="C32" s="104" t="s">
        <v>3</v>
      </c>
      <c r="D32" s="150" t="s">
        <v>6</v>
      </c>
      <c r="E32" s="150"/>
      <c r="F32" s="150"/>
      <c r="G32" s="150"/>
      <c r="H32" s="150"/>
      <c r="I32" s="150"/>
      <c r="J32" s="150"/>
      <c r="K32" s="106" t="s">
        <v>20</v>
      </c>
      <c r="L32" s="107"/>
      <c r="M32" s="100"/>
    </row>
    <row r="33" spans="1:14" ht="30.75" customHeight="1" x14ac:dyDescent="0.4">
      <c r="A33" s="82"/>
      <c r="B33" s="103"/>
      <c r="C33" s="108">
        <v>1</v>
      </c>
      <c r="D33" s="147" t="s">
        <v>17</v>
      </c>
      <c r="E33" s="147"/>
      <c r="F33" s="147"/>
      <c r="G33" s="147"/>
      <c r="H33" s="147"/>
      <c r="I33" s="147"/>
      <c r="J33" s="147"/>
      <c r="K33" s="75"/>
      <c r="L33" s="99"/>
      <c r="M33" s="100"/>
    </row>
    <row r="34" spans="1:14" ht="30.75" customHeight="1" x14ac:dyDescent="0.4">
      <c r="A34" s="82"/>
      <c r="B34" s="103"/>
      <c r="C34" s="108">
        <v>2</v>
      </c>
      <c r="D34" s="110" t="s">
        <v>18</v>
      </c>
      <c r="E34" s="111"/>
      <c r="F34" s="111"/>
      <c r="G34" s="111"/>
      <c r="H34" s="111"/>
      <c r="I34" s="111"/>
      <c r="J34" s="112"/>
      <c r="K34" s="76"/>
      <c r="L34" s="99"/>
      <c r="M34" s="100"/>
    </row>
    <row r="35" spans="1:14" ht="30.75" customHeight="1" x14ac:dyDescent="0.4">
      <c r="A35" s="82"/>
      <c r="B35" s="103"/>
      <c r="C35" s="108">
        <v>3</v>
      </c>
      <c r="D35" s="147" t="s">
        <v>19</v>
      </c>
      <c r="E35" s="147"/>
      <c r="F35" s="147"/>
      <c r="G35" s="152"/>
      <c r="H35" s="147"/>
      <c r="I35" s="147"/>
      <c r="J35" s="147"/>
      <c r="K35" s="75"/>
      <c r="L35" s="99"/>
      <c r="M35" s="100"/>
    </row>
    <row r="36" spans="1:14" ht="30.75" customHeight="1" x14ac:dyDescent="0.4">
      <c r="A36" s="82"/>
      <c r="B36" s="103"/>
      <c r="C36" s="113">
        <v>4</v>
      </c>
      <c r="D36" s="138" t="s">
        <v>43</v>
      </c>
      <c r="E36" s="139"/>
      <c r="F36" s="139"/>
      <c r="G36" s="139"/>
      <c r="H36" s="139"/>
      <c r="I36" s="139"/>
      <c r="J36" s="140"/>
      <c r="K36" s="76"/>
      <c r="L36" s="99"/>
      <c r="M36" s="100"/>
    </row>
    <row r="37" spans="1:14" ht="30" customHeight="1" x14ac:dyDescent="0.4">
      <c r="A37" s="82"/>
      <c r="B37" s="103"/>
      <c r="C37" s="108">
        <v>5</v>
      </c>
      <c r="D37" s="147" t="s">
        <v>11</v>
      </c>
      <c r="E37" s="147"/>
      <c r="F37" s="147"/>
      <c r="G37" s="147"/>
      <c r="H37" s="147"/>
      <c r="I37" s="147"/>
      <c r="J37" s="147"/>
      <c r="K37" s="75"/>
      <c r="L37" s="99"/>
      <c r="M37" s="100"/>
    </row>
    <row r="38" spans="1:14" ht="30" customHeight="1" x14ac:dyDescent="0.4">
      <c r="A38" s="82"/>
      <c r="B38" s="103"/>
      <c r="C38" s="113">
        <v>6</v>
      </c>
      <c r="D38" s="138" t="s">
        <v>44</v>
      </c>
      <c r="E38" s="139"/>
      <c r="F38" s="139"/>
      <c r="G38" s="139"/>
      <c r="H38" s="139"/>
      <c r="I38" s="139"/>
      <c r="J38" s="140"/>
      <c r="K38" s="77"/>
      <c r="L38" s="99"/>
      <c r="M38" s="100"/>
    </row>
    <row r="39" spans="1:14" ht="30" customHeight="1" x14ac:dyDescent="0.4">
      <c r="A39" s="82"/>
      <c r="B39" s="103"/>
      <c r="C39" s="113">
        <v>7</v>
      </c>
      <c r="D39" s="138" t="s">
        <v>21</v>
      </c>
      <c r="E39" s="139"/>
      <c r="F39" s="139"/>
      <c r="G39" s="139"/>
      <c r="H39" s="139"/>
      <c r="I39" s="139"/>
      <c r="J39" s="140"/>
      <c r="K39" s="77"/>
      <c r="L39" s="99"/>
      <c r="M39" s="100"/>
    </row>
    <row r="40" spans="1:14" ht="30.75" customHeight="1" thickBot="1" x14ac:dyDescent="0.45">
      <c r="A40" s="82"/>
      <c r="B40" s="103"/>
      <c r="C40" s="141" t="s">
        <v>12</v>
      </c>
      <c r="D40" s="142"/>
      <c r="E40" s="142"/>
      <c r="F40" s="142"/>
      <c r="G40" s="142"/>
      <c r="H40" s="142"/>
      <c r="I40" s="142"/>
      <c r="J40" s="142"/>
      <c r="K40" s="114">
        <f>SUM(K33:K38)-K39</f>
        <v>0</v>
      </c>
      <c r="L40" s="99"/>
      <c r="M40" s="191">
        <f>K40-K30</f>
        <v>0</v>
      </c>
      <c r="N40" s="192"/>
    </row>
    <row r="41" spans="1:14" ht="59.25" customHeight="1" x14ac:dyDescent="0.4">
      <c r="A41" s="82"/>
      <c r="B41" s="115"/>
      <c r="C41" s="115"/>
      <c r="D41" s="115"/>
      <c r="E41" s="115"/>
      <c r="F41" s="115"/>
      <c r="G41" s="115"/>
      <c r="H41" s="115"/>
      <c r="I41" s="115"/>
      <c r="J41" s="115"/>
      <c r="K41" s="116"/>
      <c r="L41" s="117"/>
    </row>
    <row r="42" spans="1:14" ht="40.5" customHeight="1" thickBot="1" x14ac:dyDescent="0.45">
      <c r="A42" s="118"/>
      <c r="B42" s="119"/>
      <c r="C42" s="143" t="s">
        <v>30</v>
      </c>
      <c r="D42" s="143"/>
      <c r="E42" s="143"/>
      <c r="F42" s="143"/>
      <c r="G42" s="143"/>
      <c r="H42" s="143"/>
      <c r="I42" s="143"/>
      <c r="J42" s="143"/>
      <c r="K42" s="119"/>
      <c r="L42" s="120"/>
    </row>
    <row r="43" spans="1:14" ht="12" customHeight="1" x14ac:dyDescent="0.4">
      <c r="A43" s="78"/>
      <c r="B43" s="121"/>
      <c r="C43" s="121"/>
      <c r="D43" s="121"/>
      <c r="E43" s="121"/>
      <c r="F43" s="121"/>
      <c r="G43" s="121"/>
      <c r="H43" s="121"/>
      <c r="I43" s="121"/>
      <c r="J43" s="121"/>
      <c r="K43" s="121"/>
      <c r="L43" s="122"/>
    </row>
    <row r="44" spans="1:14" ht="22.8" x14ac:dyDescent="0.4">
      <c r="A44" s="82"/>
      <c r="B44" s="103"/>
      <c r="C44" s="103"/>
      <c r="D44" s="103"/>
      <c r="E44" s="103"/>
      <c r="F44" s="103"/>
      <c r="G44" s="103"/>
      <c r="H44" s="103"/>
      <c r="I44" s="103"/>
      <c r="J44" s="103"/>
      <c r="K44" s="103"/>
      <c r="L44" s="99"/>
    </row>
    <row r="45" spans="1:14" x14ac:dyDescent="0.25">
      <c r="A45" s="82"/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4"/>
    </row>
    <row r="46" spans="1:14" x14ac:dyDescent="0.25">
      <c r="A46" s="82"/>
      <c r="B46" s="83"/>
      <c r="C46" s="83"/>
      <c r="D46" s="83"/>
      <c r="E46" s="83"/>
      <c r="F46" s="83"/>
      <c r="G46" s="83"/>
      <c r="H46" s="83"/>
      <c r="I46" s="83"/>
      <c r="J46" s="83"/>
      <c r="K46" s="83"/>
      <c r="L46" s="84"/>
    </row>
    <row r="47" spans="1:14" x14ac:dyDescent="0.25">
      <c r="A47" s="82"/>
      <c r="B47" s="83"/>
      <c r="C47" s="83"/>
      <c r="D47" s="83"/>
      <c r="E47" s="83"/>
      <c r="F47" s="83"/>
      <c r="G47" s="83"/>
      <c r="H47" s="83"/>
      <c r="I47" s="83"/>
      <c r="J47" s="83"/>
      <c r="K47" s="83"/>
      <c r="L47" s="84"/>
    </row>
    <row r="48" spans="1:14" x14ac:dyDescent="0.25">
      <c r="A48" s="82"/>
      <c r="B48" s="83"/>
      <c r="C48" s="83"/>
      <c r="D48" s="83"/>
      <c r="E48" s="83"/>
      <c r="F48" s="83"/>
      <c r="G48" s="83"/>
      <c r="H48" s="83"/>
      <c r="I48" s="83"/>
      <c r="J48" s="83"/>
      <c r="K48" s="83"/>
      <c r="L48" s="84"/>
    </row>
    <row r="49" spans="1:12" x14ac:dyDescent="0.25">
      <c r="A49" s="82"/>
      <c r="B49" s="83"/>
      <c r="C49" s="83"/>
      <c r="D49" s="83"/>
      <c r="E49" s="83"/>
      <c r="F49" s="83"/>
      <c r="G49" s="83"/>
      <c r="H49" s="83"/>
      <c r="I49" s="83"/>
      <c r="J49" s="83"/>
      <c r="K49" s="83"/>
      <c r="L49" s="84"/>
    </row>
    <row r="50" spans="1:12" x14ac:dyDescent="0.25">
      <c r="A50" s="82"/>
      <c r="B50" s="83"/>
      <c r="C50" s="83"/>
      <c r="D50" s="83"/>
      <c r="E50" s="83"/>
      <c r="F50" s="83"/>
      <c r="G50" s="83"/>
      <c r="H50" s="83"/>
      <c r="I50" s="83"/>
      <c r="J50" s="83"/>
      <c r="K50" s="83"/>
      <c r="L50" s="84"/>
    </row>
    <row r="51" spans="1:12" x14ac:dyDescent="0.25">
      <c r="A51" s="82"/>
      <c r="B51" s="83"/>
      <c r="C51" s="83"/>
      <c r="D51" s="83"/>
      <c r="E51" s="83"/>
      <c r="F51" s="83"/>
      <c r="G51" s="83"/>
      <c r="H51" s="83"/>
      <c r="I51" s="83"/>
      <c r="J51" s="83"/>
      <c r="K51" s="83"/>
      <c r="L51" s="84"/>
    </row>
    <row r="52" spans="1:12" ht="33.75" customHeight="1" x14ac:dyDescent="0.4">
      <c r="A52" s="82"/>
      <c r="B52" s="97" t="s">
        <v>22</v>
      </c>
      <c r="C52" s="97"/>
      <c r="D52" s="97"/>
      <c r="E52" s="97"/>
      <c r="F52" s="97"/>
      <c r="G52" s="97"/>
      <c r="H52" s="97"/>
      <c r="I52" s="97"/>
      <c r="J52" s="97"/>
      <c r="K52" s="97"/>
      <c r="L52" s="84"/>
    </row>
    <row r="53" spans="1:12" ht="30" customHeight="1" x14ac:dyDescent="0.4">
      <c r="A53" s="82"/>
      <c r="B53" s="97" t="s">
        <v>83</v>
      </c>
      <c r="C53" s="97"/>
      <c r="D53" s="97"/>
      <c r="E53" s="97"/>
      <c r="F53" s="97"/>
      <c r="G53" s="97"/>
      <c r="H53" s="97"/>
      <c r="I53" s="97"/>
      <c r="J53" s="97"/>
      <c r="K53" s="97"/>
      <c r="L53" s="84"/>
    </row>
    <row r="54" spans="1:12" ht="33.75" customHeight="1" x14ac:dyDescent="0.4">
      <c r="A54" s="95">
        <v>2</v>
      </c>
      <c r="B54" s="97" t="s">
        <v>33</v>
      </c>
      <c r="C54" s="123"/>
      <c r="D54" s="123"/>
      <c r="E54" s="97"/>
      <c r="F54" s="98" t="str">
        <f>IFERROR((VLOOKUP(A54,Table1[#All],2,0)),"")</f>
        <v>سامح بلامون عبدالسيد</v>
      </c>
      <c r="G54" s="97"/>
      <c r="H54" s="97"/>
      <c r="I54" s="97"/>
      <c r="J54" s="124" t="str">
        <f>IFERROR((VLOOKUP(A54,Table1[#All],3,0)),"")</f>
        <v>مدير التمويل متناهى الصغر بمحافظة قنا</v>
      </c>
      <c r="K54" s="97"/>
      <c r="L54" s="84"/>
    </row>
    <row r="55" spans="1:12" ht="33.75" customHeight="1" x14ac:dyDescent="0.4">
      <c r="A55" s="82"/>
      <c r="B55" s="97" t="s">
        <v>34</v>
      </c>
      <c r="C55" s="97"/>
      <c r="D55" s="97"/>
      <c r="E55" s="97"/>
      <c r="F55" s="97"/>
      <c r="G55" s="97"/>
      <c r="H55" s="97"/>
      <c r="I55" s="97"/>
      <c r="J55" s="97"/>
      <c r="K55" s="97"/>
      <c r="L55" s="84"/>
    </row>
    <row r="56" spans="1:12" ht="30" customHeight="1" x14ac:dyDescent="0.4">
      <c r="A56" s="82"/>
      <c r="B56" s="97" t="s">
        <v>14</v>
      </c>
      <c r="C56" s="97"/>
      <c r="D56" s="97"/>
      <c r="E56" s="97"/>
      <c r="F56" s="97"/>
      <c r="G56" s="97"/>
      <c r="H56" s="97"/>
      <c r="I56" s="97"/>
      <c r="J56" s="97"/>
      <c r="K56" s="97"/>
      <c r="L56" s="84"/>
    </row>
    <row r="57" spans="1:12" ht="42.75" customHeight="1" x14ac:dyDescent="0.4">
      <c r="A57" s="82"/>
      <c r="B57" s="146" t="s">
        <v>15</v>
      </c>
      <c r="C57" s="146"/>
      <c r="D57" s="97"/>
      <c r="E57" s="97"/>
      <c r="F57" s="97"/>
      <c r="G57" s="146" t="s">
        <v>16</v>
      </c>
      <c r="H57" s="146"/>
      <c r="I57" s="146"/>
      <c r="J57" s="146"/>
      <c r="K57" s="146"/>
      <c r="L57" s="84"/>
    </row>
    <row r="58" spans="1:12" ht="28.95" customHeight="1" x14ac:dyDescent="0.4">
      <c r="A58" s="130">
        <v>1</v>
      </c>
      <c r="B58" s="97" t="str">
        <f t="shared" ref="B58:B67" si="0">"الاستاذ "&amp;B11</f>
        <v xml:space="preserve">الاستاذ </v>
      </c>
      <c r="C58" s="97"/>
      <c r="D58" s="97"/>
      <c r="E58" s="97"/>
      <c r="F58" s="97"/>
      <c r="G58" s="144" t="s">
        <v>29</v>
      </c>
      <c r="H58" s="145"/>
      <c r="I58" s="145"/>
      <c r="J58" s="145"/>
      <c r="K58" s="145"/>
      <c r="L58" s="84"/>
    </row>
    <row r="59" spans="1:12" ht="28.95" customHeight="1" x14ac:dyDescent="0.4">
      <c r="A59" s="130">
        <v>2</v>
      </c>
      <c r="B59" s="97" t="str">
        <f t="shared" si="0"/>
        <v xml:space="preserve">الاستاذ </v>
      </c>
      <c r="C59" s="97"/>
      <c r="D59" s="97"/>
      <c r="E59" s="97"/>
      <c r="F59" s="97"/>
      <c r="G59" s="144" t="s">
        <v>29</v>
      </c>
      <c r="H59" s="145"/>
      <c r="I59" s="145"/>
      <c r="J59" s="145"/>
      <c r="K59" s="145"/>
      <c r="L59" s="84"/>
    </row>
    <row r="60" spans="1:12" ht="28.95" customHeight="1" x14ac:dyDescent="0.4">
      <c r="A60" s="130">
        <v>3</v>
      </c>
      <c r="B60" s="97" t="str">
        <f t="shared" si="0"/>
        <v xml:space="preserve">الاستاذ </v>
      </c>
      <c r="C60" s="97"/>
      <c r="D60" s="97"/>
      <c r="E60" s="97"/>
      <c r="F60" s="97"/>
      <c r="G60" s="144" t="s">
        <v>29</v>
      </c>
      <c r="H60" s="145"/>
      <c r="I60" s="145"/>
      <c r="J60" s="145"/>
      <c r="K60" s="145"/>
      <c r="L60" s="84"/>
    </row>
    <row r="61" spans="1:12" ht="28.95" customHeight="1" x14ac:dyDescent="0.4">
      <c r="A61" s="130">
        <v>4</v>
      </c>
      <c r="B61" s="97" t="str">
        <f t="shared" si="0"/>
        <v xml:space="preserve">الاستاذ </v>
      </c>
      <c r="C61" s="97"/>
      <c r="D61" s="97"/>
      <c r="E61" s="97"/>
      <c r="F61" s="97"/>
      <c r="G61" s="144" t="s">
        <v>29</v>
      </c>
      <c r="H61" s="145"/>
      <c r="I61" s="145"/>
      <c r="J61" s="145"/>
      <c r="K61" s="145"/>
      <c r="L61" s="84"/>
    </row>
    <row r="62" spans="1:12" ht="28.95" customHeight="1" x14ac:dyDescent="0.4">
      <c r="A62" s="130">
        <v>5</v>
      </c>
      <c r="B62" s="97" t="str">
        <f t="shared" si="0"/>
        <v xml:space="preserve">الاستاذ </v>
      </c>
      <c r="C62" s="97"/>
      <c r="D62" s="97"/>
      <c r="E62" s="97"/>
      <c r="F62" s="97"/>
      <c r="G62" s="144" t="s">
        <v>29</v>
      </c>
      <c r="H62" s="145"/>
      <c r="I62" s="145"/>
      <c r="J62" s="145"/>
      <c r="K62" s="145"/>
      <c r="L62" s="84"/>
    </row>
    <row r="63" spans="1:12" ht="28.95" customHeight="1" x14ac:dyDescent="0.4">
      <c r="A63" s="130">
        <v>6</v>
      </c>
      <c r="B63" s="97" t="str">
        <f t="shared" si="0"/>
        <v xml:space="preserve">الاستاذ </v>
      </c>
      <c r="C63" s="97"/>
      <c r="D63" s="97"/>
      <c r="E63" s="97"/>
      <c r="F63" s="97"/>
      <c r="G63" s="144" t="s">
        <v>29</v>
      </c>
      <c r="H63" s="145"/>
      <c r="I63" s="145"/>
      <c r="J63" s="145"/>
      <c r="K63" s="145"/>
      <c r="L63" s="84"/>
    </row>
    <row r="64" spans="1:12" ht="28.95" customHeight="1" x14ac:dyDescent="0.4">
      <c r="A64" s="130">
        <v>7</v>
      </c>
      <c r="B64" s="97" t="str">
        <f t="shared" si="0"/>
        <v xml:space="preserve">الاستاذ </v>
      </c>
      <c r="C64" s="97"/>
      <c r="D64" s="97"/>
      <c r="E64" s="97"/>
      <c r="F64" s="97"/>
      <c r="G64" s="144" t="s">
        <v>29</v>
      </c>
      <c r="H64" s="145"/>
      <c r="I64" s="145"/>
      <c r="J64" s="145"/>
      <c r="K64" s="145"/>
      <c r="L64" s="84"/>
    </row>
    <row r="65" spans="1:12" ht="28.95" customHeight="1" x14ac:dyDescent="0.4">
      <c r="A65" s="130">
        <v>8</v>
      </c>
      <c r="B65" s="97" t="str">
        <f t="shared" si="0"/>
        <v xml:space="preserve">الاستاذ </v>
      </c>
      <c r="C65" s="97"/>
      <c r="D65" s="97"/>
      <c r="E65" s="97"/>
      <c r="F65" s="97"/>
      <c r="G65" s="144" t="s">
        <v>29</v>
      </c>
      <c r="H65" s="145"/>
      <c r="I65" s="145"/>
      <c r="J65" s="145"/>
      <c r="K65" s="145"/>
      <c r="L65" s="84"/>
    </row>
    <row r="66" spans="1:12" ht="28.95" customHeight="1" x14ac:dyDescent="0.4">
      <c r="A66" s="130">
        <v>9</v>
      </c>
      <c r="B66" s="97" t="str">
        <f t="shared" si="0"/>
        <v xml:space="preserve">الاستاذ </v>
      </c>
      <c r="C66" s="97"/>
      <c r="D66" s="97"/>
      <c r="E66" s="97"/>
      <c r="F66" s="97"/>
      <c r="G66" s="144" t="s">
        <v>29</v>
      </c>
      <c r="H66" s="145"/>
      <c r="I66" s="145"/>
      <c r="J66" s="145"/>
      <c r="K66" s="145"/>
      <c r="L66" s="84"/>
    </row>
    <row r="67" spans="1:12" ht="28.95" customHeight="1" x14ac:dyDescent="0.4">
      <c r="A67" s="130">
        <v>10</v>
      </c>
      <c r="B67" s="97" t="str">
        <f t="shared" si="0"/>
        <v xml:space="preserve">الاستاذ </v>
      </c>
      <c r="C67" s="83"/>
      <c r="D67" s="83"/>
      <c r="E67" s="83"/>
      <c r="F67" s="83"/>
      <c r="G67" s="144" t="s">
        <v>29</v>
      </c>
      <c r="H67" s="145"/>
      <c r="I67" s="145"/>
      <c r="J67" s="145"/>
      <c r="K67" s="145"/>
      <c r="L67" s="84"/>
    </row>
    <row r="68" spans="1:12" ht="59.25" customHeight="1" x14ac:dyDescent="0.25">
      <c r="A68" s="82"/>
      <c r="B68" s="125"/>
      <c r="C68" s="125"/>
      <c r="D68" s="125"/>
      <c r="E68" s="125"/>
      <c r="F68" s="125"/>
      <c r="G68" s="125"/>
      <c r="H68" s="125"/>
      <c r="I68" s="125"/>
      <c r="J68" s="125"/>
      <c r="K68" s="125"/>
      <c r="L68" s="84"/>
    </row>
    <row r="69" spans="1:12" ht="35.25" customHeight="1" thickBot="1" x14ac:dyDescent="0.45">
      <c r="A69" s="118"/>
      <c r="B69" s="119"/>
      <c r="C69" s="143" t="s">
        <v>30</v>
      </c>
      <c r="D69" s="143"/>
      <c r="E69" s="143"/>
      <c r="F69" s="143"/>
      <c r="G69" s="143"/>
      <c r="H69" s="143"/>
      <c r="I69" s="143"/>
      <c r="J69" s="143"/>
      <c r="K69" s="119"/>
      <c r="L69" s="126"/>
    </row>
  </sheetData>
  <sheetProtection selectLockedCells="1"/>
  <mergeCells count="41">
    <mergeCell ref="M40:N40"/>
    <mergeCell ref="G66:K66"/>
    <mergeCell ref="B8:J8"/>
    <mergeCell ref="D25:I25"/>
    <mergeCell ref="D26:I26"/>
    <mergeCell ref="D27:I27"/>
    <mergeCell ref="D28:I28"/>
    <mergeCell ref="F15:J15"/>
    <mergeCell ref="F13:J13"/>
    <mergeCell ref="F12:J12"/>
    <mergeCell ref="F11:J11"/>
    <mergeCell ref="F14:J14"/>
    <mergeCell ref="F16:J16"/>
    <mergeCell ref="J22:L22"/>
    <mergeCell ref="F20:J20"/>
    <mergeCell ref="F18:J18"/>
    <mergeCell ref="F19:J19"/>
    <mergeCell ref="D37:J37"/>
    <mergeCell ref="D29:I29"/>
    <mergeCell ref="C30:I30"/>
    <mergeCell ref="D32:J32"/>
    <mergeCell ref="F17:J17"/>
    <mergeCell ref="D33:J33"/>
    <mergeCell ref="D35:J35"/>
    <mergeCell ref="D36:J36"/>
    <mergeCell ref="D38:J38"/>
    <mergeCell ref="D39:J39"/>
    <mergeCell ref="C40:J40"/>
    <mergeCell ref="C42:J42"/>
    <mergeCell ref="C69:J69"/>
    <mergeCell ref="G58:K58"/>
    <mergeCell ref="G59:K59"/>
    <mergeCell ref="G60:K60"/>
    <mergeCell ref="G61:K61"/>
    <mergeCell ref="G62:K62"/>
    <mergeCell ref="G63:K63"/>
    <mergeCell ref="G64:K64"/>
    <mergeCell ref="B57:C57"/>
    <mergeCell ref="G57:K57"/>
    <mergeCell ref="G67:K67"/>
    <mergeCell ref="G65:K65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N71"/>
  <sheetViews>
    <sheetView rightToLeft="1" view="pageBreakPreview" topLeftCell="A25" zoomScale="90" zoomScaleNormal="100" zoomScaleSheetLayoutView="90" workbookViewId="0">
      <selection activeCell="M40" sqref="M40:N4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4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4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4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4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4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4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4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4" ht="56.25" customHeight="1" x14ac:dyDescent="0.4">
      <c r="A8" s="12"/>
      <c r="B8" s="162" t="s">
        <v>24</v>
      </c>
      <c r="C8" s="163"/>
      <c r="D8" s="163"/>
      <c r="E8" s="163"/>
      <c r="F8" s="163"/>
      <c r="G8" s="163"/>
      <c r="H8" s="163"/>
      <c r="I8" s="163"/>
      <c r="J8" s="163"/>
      <c r="K8" s="5"/>
      <c r="L8" s="13"/>
      <c r="N8" s="135"/>
    </row>
    <row r="9" spans="1:14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4" s="1" customFormat="1" ht="22.8" x14ac:dyDescent="0.4">
      <c r="A10" s="14"/>
      <c r="B10" s="43" t="s">
        <v>0</v>
      </c>
      <c r="C10" s="59">
        <f>E10</f>
        <v>0</v>
      </c>
      <c r="D10" s="43" t="s">
        <v>1</v>
      </c>
      <c r="E10" s="66"/>
      <c r="F10" s="43" t="s">
        <v>25</v>
      </c>
      <c r="G10" s="43"/>
      <c r="H10" s="43"/>
      <c r="I10" s="43"/>
      <c r="J10" s="43"/>
      <c r="K10" s="44"/>
      <c r="L10" s="42"/>
    </row>
    <row r="11" spans="1:14" s="1" customFormat="1" ht="28.2" customHeight="1" x14ac:dyDescent="0.4">
      <c r="A11" s="67" t="s">
        <v>81</v>
      </c>
      <c r="B11" s="6" t="str">
        <f>IFERROR(VLOOKUP(A11,Table1[#All],2,0),"")</f>
        <v/>
      </c>
      <c r="C11" s="6"/>
      <c r="D11" s="6"/>
      <c r="E11" s="7"/>
      <c r="F11" s="168" t="str">
        <f t="shared" ref="F11:F12" si="0">IFERROR(VLOOKUP(A11,الاعضاء,3,0),"")</f>
        <v/>
      </c>
      <c r="G11" s="168"/>
      <c r="H11" s="168"/>
      <c r="I11" s="168"/>
      <c r="J11" s="168"/>
      <c r="K11" s="49" t="s">
        <v>32</v>
      </c>
      <c r="L11" s="15"/>
    </row>
    <row r="12" spans="1:14" s="1" customFormat="1" ht="28.2" customHeight="1" x14ac:dyDescent="0.4">
      <c r="A12" s="67" t="s">
        <v>81</v>
      </c>
      <c r="B12" s="6" t="str">
        <f>IFERROR(VLOOKUP(A12,Table1[#All],2,0),"")</f>
        <v/>
      </c>
      <c r="C12" s="6"/>
      <c r="D12" s="6"/>
      <c r="E12" s="7"/>
      <c r="F12" s="168" t="str">
        <f t="shared" si="0"/>
        <v/>
      </c>
      <c r="G12" s="168"/>
      <c r="H12" s="168"/>
      <c r="I12" s="168"/>
      <c r="J12" s="168"/>
      <c r="K12" s="49" t="s">
        <v>32</v>
      </c>
      <c r="L12" s="15"/>
    </row>
    <row r="13" spans="1:14" s="1" customFormat="1" ht="28.2" customHeight="1" x14ac:dyDescent="0.4">
      <c r="A13" s="67" t="s">
        <v>81</v>
      </c>
      <c r="B13" s="6" t="str">
        <f>IFERROR(VLOOKUP(A13,Table1[#All],2,0),"")</f>
        <v/>
      </c>
      <c r="C13" s="6"/>
      <c r="D13" s="6"/>
      <c r="E13" s="7"/>
      <c r="F13" s="168" t="str">
        <f t="shared" ref="F13:F20" si="1">IFERROR(VLOOKUP(A13,الاعضاء,3,0),"")</f>
        <v/>
      </c>
      <c r="G13" s="168"/>
      <c r="H13" s="168"/>
      <c r="I13" s="168"/>
      <c r="J13" s="168"/>
      <c r="K13" s="49" t="s">
        <v>32</v>
      </c>
      <c r="L13" s="15"/>
    </row>
    <row r="14" spans="1:14" s="1" customFormat="1" ht="28.2" customHeight="1" x14ac:dyDescent="0.4">
      <c r="A14" s="67" t="s">
        <v>81</v>
      </c>
      <c r="B14" s="6" t="str">
        <f>IFERROR(VLOOKUP(A14,Table1[#All],2,0),"")</f>
        <v/>
      </c>
      <c r="C14" s="6"/>
      <c r="D14" s="6"/>
      <c r="E14" s="7"/>
      <c r="F14" s="168" t="str">
        <f t="shared" si="1"/>
        <v/>
      </c>
      <c r="G14" s="168"/>
      <c r="H14" s="168"/>
      <c r="I14" s="168"/>
      <c r="J14" s="168"/>
      <c r="K14" s="49" t="s">
        <v>32</v>
      </c>
      <c r="L14" s="15"/>
    </row>
    <row r="15" spans="1:14" s="1" customFormat="1" ht="28.2" customHeight="1" x14ac:dyDescent="0.4">
      <c r="A15" s="67" t="s">
        <v>81</v>
      </c>
      <c r="B15" s="6" t="str">
        <f>IFERROR(VLOOKUP(A15,Table1[#All],2,0),"")</f>
        <v/>
      </c>
      <c r="C15" s="6"/>
      <c r="D15" s="6"/>
      <c r="E15" s="7"/>
      <c r="F15" s="168" t="str">
        <f t="shared" si="1"/>
        <v/>
      </c>
      <c r="G15" s="168"/>
      <c r="H15" s="168"/>
      <c r="I15" s="168"/>
      <c r="J15" s="168"/>
      <c r="K15" s="49" t="s">
        <v>32</v>
      </c>
      <c r="L15" s="15"/>
    </row>
    <row r="16" spans="1:14" s="1" customFormat="1" ht="28.2" customHeight="1" x14ac:dyDescent="0.4">
      <c r="A16" s="67" t="s">
        <v>81</v>
      </c>
      <c r="B16" s="6" t="str">
        <f>IFERROR(VLOOKUP(A16,Table1[#All],2,0),"")</f>
        <v/>
      </c>
      <c r="C16" s="6"/>
      <c r="D16" s="6"/>
      <c r="E16" s="7"/>
      <c r="F16" s="168" t="str">
        <f t="shared" si="1"/>
        <v/>
      </c>
      <c r="G16" s="168"/>
      <c r="H16" s="168"/>
      <c r="I16" s="168"/>
      <c r="J16" s="168"/>
      <c r="K16" s="49" t="s">
        <v>32</v>
      </c>
      <c r="L16" s="15"/>
    </row>
    <row r="17" spans="1:13" s="1" customFormat="1" ht="28.2" customHeight="1" x14ac:dyDescent="0.4">
      <c r="A17" s="67" t="s">
        <v>81</v>
      </c>
      <c r="B17" s="6" t="str">
        <f>IFERROR(VLOOKUP(A17,Table1[#All],2,0),"")</f>
        <v/>
      </c>
      <c r="C17" s="6"/>
      <c r="D17" s="6"/>
      <c r="E17" s="7"/>
      <c r="F17" s="168" t="str">
        <f t="shared" si="1"/>
        <v/>
      </c>
      <c r="G17" s="168"/>
      <c r="H17" s="168"/>
      <c r="I17" s="168"/>
      <c r="J17" s="168"/>
      <c r="K17" s="49" t="s">
        <v>32</v>
      </c>
      <c r="L17" s="15"/>
    </row>
    <row r="18" spans="1:13" s="1" customFormat="1" ht="28.2" customHeight="1" x14ac:dyDescent="0.4">
      <c r="A18" s="67" t="s">
        <v>81</v>
      </c>
      <c r="B18" s="6" t="str">
        <f>IFERROR(VLOOKUP(A18,Table1[#All],2,0),"")</f>
        <v/>
      </c>
      <c r="C18" s="6"/>
      <c r="D18" s="6"/>
      <c r="E18" s="7"/>
      <c r="F18" s="168" t="str">
        <f t="shared" ref="F18" si="2">IFERROR(VLOOKUP(A18,الاعضاء,3,0),"")</f>
        <v/>
      </c>
      <c r="G18" s="168"/>
      <c r="H18" s="168"/>
      <c r="I18" s="168"/>
      <c r="J18" s="168"/>
      <c r="K18" s="49" t="s">
        <v>32</v>
      </c>
      <c r="L18" s="15"/>
    </row>
    <row r="19" spans="1:13" s="1" customFormat="1" ht="28.2" customHeight="1" x14ac:dyDescent="0.4">
      <c r="A19" s="67" t="s">
        <v>81</v>
      </c>
      <c r="B19" s="6" t="str">
        <f>IFERROR(VLOOKUP(A19,Table1[#All],2,0),"")</f>
        <v/>
      </c>
      <c r="C19" s="6"/>
      <c r="D19" s="6"/>
      <c r="E19" s="7"/>
      <c r="F19" s="168" t="str">
        <f t="shared" ref="F19" si="3">IFERROR(VLOOKUP(A19,الاعضاء,3,0),"")</f>
        <v/>
      </c>
      <c r="G19" s="168"/>
      <c r="H19" s="168"/>
      <c r="I19" s="168"/>
      <c r="J19" s="168"/>
      <c r="K19" s="49" t="s">
        <v>32</v>
      </c>
      <c r="L19" s="15"/>
    </row>
    <row r="20" spans="1:13" s="1" customFormat="1" ht="28.2" customHeight="1" x14ac:dyDescent="0.4">
      <c r="A20" s="67" t="s">
        <v>81</v>
      </c>
      <c r="B20" s="6" t="str">
        <f>IFERROR(VLOOKUP(A20,Table1[#All],2,0),"")</f>
        <v/>
      </c>
      <c r="C20" s="6"/>
      <c r="D20" s="6"/>
      <c r="E20" s="7"/>
      <c r="F20" s="168" t="str">
        <f t="shared" si="1"/>
        <v/>
      </c>
      <c r="G20" s="168"/>
      <c r="H20" s="168"/>
      <c r="I20" s="168"/>
      <c r="J20" s="168"/>
      <c r="K20" s="49" t="s">
        <v>32</v>
      </c>
      <c r="L20" s="15"/>
    </row>
    <row r="21" spans="1:13" ht="24" customHeight="1" x14ac:dyDescent="0.4">
      <c r="A21" s="12"/>
      <c r="B21" s="159" t="s">
        <v>35</v>
      </c>
      <c r="C21" s="159"/>
      <c r="D21" s="159"/>
      <c r="E21" s="159"/>
      <c r="F21" s="159"/>
      <c r="G21" s="159"/>
      <c r="H21" s="159"/>
      <c r="I21" s="54" t="s">
        <v>36</v>
      </c>
      <c r="J21" s="45" t="s">
        <v>27</v>
      </c>
      <c r="K21" s="22"/>
      <c r="L21" s="16"/>
      <c r="M21" s="2"/>
    </row>
    <row r="22" spans="1:13" ht="29.25" customHeight="1" x14ac:dyDescent="0.4">
      <c r="A22" s="12"/>
      <c r="B22" s="45" t="s">
        <v>55</v>
      </c>
      <c r="C22" s="22"/>
      <c r="D22" s="22"/>
      <c r="E22" s="22"/>
      <c r="F22" s="70"/>
      <c r="G22" s="62" t="s">
        <v>2</v>
      </c>
      <c r="H22" s="61"/>
      <c r="I22" s="70"/>
      <c r="J22" s="169" t="str">
        <f>NoToTxt(I22,"جنيها","قرش")&amp;" لاغير"</f>
        <v>صفر لاغير</v>
      </c>
      <c r="K22" s="169"/>
      <c r="L22" s="170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4" t="s">
        <v>6</v>
      </c>
      <c r="E25" s="164"/>
      <c r="F25" s="164"/>
      <c r="G25" s="164"/>
      <c r="H25" s="164"/>
      <c r="I25" s="164"/>
      <c r="J25" s="24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5" t="s">
        <v>64</v>
      </c>
      <c r="E26" s="165"/>
      <c r="F26" s="165"/>
      <c r="G26" s="165"/>
      <c r="H26" s="165"/>
      <c r="I26" s="165"/>
      <c r="J26" s="73"/>
      <c r="K26" s="75"/>
      <c r="L26" s="16"/>
      <c r="M26" s="2"/>
    </row>
    <row r="27" spans="1:13" ht="28.95" customHeight="1" x14ac:dyDescent="0.4">
      <c r="A27" s="12"/>
      <c r="B27" s="8"/>
      <c r="C27" s="26">
        <v>1</v>
      </c>
      <c r="D27" s="165" t="s">
        <v>65</v>
      </c>
      <c r="E27" s="165"/>
      <c r="F27" s="165"/>
      <c r="G27" s="165"/>
      <c r="H27" s="165"/>
      <c r="I27" s="165"/>
      <c r="J27" s="73"/>
      <c r="K27" s="75"/>
      <c r="L27" s="16"/>
      <c r="M27" s="2"/>
    </row>
    <row r="28" spans="1:13" ht="28.95" customHeight="1" x14ac:dyDescent="0.4">
      <c r="A28" s="12"/>
      <c r="B28" s="8"/>
      <c r="C28" s="26">
        <v>1</v>
      </c>
      <c r="D28" s="178" t="s">
        <v>74</v>
      </c>
      <c r="E28" s="179"/>
      <c r="F28" s="179"/>
      <c r="G28" s="179"/>
      <c r="H28" s="179"/>
      <c r="I28" s="180"/>
      <c r="J28" s="73"/>
      <c r="K28" s="75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66" t="s">
        <v>7</v>
      </c>
      <c r="E29" s="167"/>
      <c r="F29" s="167"/>
      <c r="G29" s="167"/>
      <c r="H29" s="167"/>
      <c r="I29" s="167"/>
      <c r="J29" s="73" t="s">
        <v>23</v>
      </c>
      <c r="K29" s="74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66" t="s">
        <v>8</v>
      </c>
      <c r="E30" s="167"/>
      <c r="F30" s="167"/>
      <c r="G30" s="167"/>
      <c r="H30" s="167"/>
      <c r="I30" s="167"/>
      <c r="J30" s="73" t="s">
        <v>23</v>
      </c>
      <c r="K30" s="74" t="s">
        <v>23</v>
      </c>
      <c r="L30" s="16"/>
      <c r="M30" s="2"/>
    </row>
    <row r="31" spans="1:13" ht="30.75" customHeight="1" thickBot="1" x14ac:dyDescent="0.45">
      <c r="A31" s="12"/>
      <c r="B31" s="8"/>
      <c r="C31" s="171" t="s">
        <v>9</v>
      </c>
      <c r="D31" s="172"/>
      <c r="E31" s="172"/>
      <c r="F31" s="172"/>
      <c r="G31" s="172"/>
      <c r="H31" s="172"/>
      <c r="I31" s="172"/>
      <c r="J31" s="73">
        <f>J26+J27+J28</f>
        <v>0</v>
      </c>
      <c r="K31" s="75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4" ht="22.8" x14ac:dyDescent="0.4">
      <c r="A33" s="12"/>
      <c r="B33" s="8"/>
      <c r="C33" s="23" t="s">
        <v>3</v>
      </c>
      <c r="D33" s="164" t="s">
        <v>6</v>
      </c>
      <c r="E33" s="164"/>
      <c r="F33" s="164"/>
      <c r="G33" s="164"/>
      <c r="H33" s="164"/>
      <c r="I33" s="164"/>
      <c r="J33" s="164"/>
      <c r="K33" s="25" t="s">
        <v>20</v>
      </c>
      <c r="L33" s="17"/>
      <c r="M33" s="2"/>
    </row>
    <row r="34" spans="1:14" ht="30.75" customHeight="1" x14ac:dyDescent="0.4">
      <c r="A34" s="12"/>
      <c r="B34" s="8"/>
      <c r="C34" s="26">
        <v>1</v>
      </c>
      <c r="D34" s="173" t="s">
        <v>17</v>
      </c>
      <c r="E34" s="173"/>
      <c r="F34" s="173"/>
      <c r="G34" s="173"/>
      <c r="H34" s="173"/>
      <c r="I34" s="173"/>
      <c r="J34" s="173"/>
      <c r="K34" s="75"/>
      <c r="L34" s="16"/>
      <c r="M34" s="2"/>
    </row>
    <row r="35" spans="1:14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6"/>
      <c r="L35" s="16"/>
      <c r="M35" s="2"/>
    </row>
    <row r="36" spans="1:14" ht="30.75" customHeight="1" x14ac:dyDescent="0.4">
      <c r="A36" s="12"/>
      <c r="B36" s="8"/>
      <c r="C36" s="26">
        <v>3</v>
      </c>
      <c r="D36" s="173" t="s">
        <v>19</v>
      </c>
      <c r="E36" s="173"/>
      <c r="F36" s="173"/>
      <c r="G36" s="174"/>
      <c r="H36" s="173"/>
      <c r="I36" s="173"/>
      <c r="J36" s="173"/>
      <c r="K36" s="75"/>
      <c r="L36" s="16"/>
      <c r="M36" s="2"/>
    </row>
    <row r="37" spans="1:14" ht="30.75" customHeight="1" x14ac:dyDescent="0.4">
      <c r="A37" s="12"/>
      <c r="B37" s="8"/>
      <c r="C37" s="34">
        <v>4</v>
      </c>
      <c r="D37" s="175" t="s">
        <v>72</v>
      </c>
      <c r="E37" s="176"/>
      <c r="F37" s="176"/>
      <c r="G37" s="176"/>
      <c r="H37" s="176"/>
      <c r="I37" s="176"/>
      <c r="J37" s="177"/>
      <c r="K37" s="76"/>
      <c r="L37" s="16"/>
      <c r="M37" s="2"/>
    </row>
    <row r="38" spans="1:14" ht="30" customHeight="1" x14ac:dyDescent="0.4">
      <c r="A38" s="12"/>
      <c r="B38" s="8"/>
      <c r="C38" s="26">
        <v>5</v>
      </c>
      <c r="D38" s="173" t="s">
        <v>11</v>
      </c>
      <c r="E38" s="173"/>
      <c r="F38" s="173"/>
      <c r="G38" s="173"/>
      <c r="H38" s="173"/>
      <c r="I38" s="173"/>
      <c r="J38" s="173"/>
      <c r="K38" s="75"/>
      <c r="L38" s="16"/>
      <c r="M38" s="2"/>
    </row>
    <row r="39" spans="1:14" ht="30" customHeight="1" x14ac:dyDescent="0.4">
      <c r="A39" s="12"/>
      <c r="B39" s="8"/>
      <c r="C39" s="34">
        <v>6</v>
      </c>
      <c r="D39" s="175" t="s">
        <v>21</v>
      </c>
      <c r="E39" s="176"/>
      <c r="F39" s="176"/>
      <c r="G39" s="176"/>
      <c r="H39" s="176"/>
      <c r="I39" s="176"/>
      <c r="J39" s="177"/>
      <c r="K39" s="77"/>
      <c r="L39" s="16"/>
      <c r="M39" s="2"/>
    </row>
    <row r="40" spans="1:14" ht="30.75" customHeight="1" thickBot="1" x14ac:dyDescent="0.45">
      <c r="A40" s="12"/>
      <c r="B40" s="8"/>
      <c r="C40" s="171" t="s">
        <v>12</v>
      </c>
      <c r="D40" s="172"/>
      <c r="E40" s="172"/>
      <c r="F40" s="172"/>
      <c r="G40" s="172"/>
      <c r="H40" s="172"/>
      <c r="I40" s="172"/>
      <c r="J40" s="172"/>
      <c r="K40" s="114">
        <f>SUM(K34:K38)-K39</f>
        <v>0</v>
      </c>
      <c r="L40" s="16"/>
      <c r="M40" s="195">
        <f>K40-K31</f>
        <v>0</v>
      </c>
      <c r="N40" s="196"/>
    </row>
    <row r="41" spans="1:14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4" ht="40.5" customHeight="1" thickBot="1" x14ac:dyDescent="0.45">
      <c r="A42" s="19"/>
      <c r="B42" s="20"/>
      <c r="C42" s="158" t="s">
        <v>30</v>
      </c>
      <c r="D42" s="158"/>
      <c r="E42" s="158"/>
      <c r="F42" s="158"/>
      <c r="G42" s="158"/>
      <c r="H42" s="158"/>
      <c r="I42" s="158"/>
      <c r="J42" s="158"/>
      <c r="K42" s="20"/>
      <c r="L42" s="21"/>
    </row>
    <row r="43" spans="1:14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4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4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4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4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4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97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3.75" customHeight="1" x14ac:dyDescent="0.4">
      <c r="A54" s="52">
        <v>2</v>
      </c>
      <c r="B54" s="22" t="s">
        <v>33</v>
      </c>
      <c r="C54" s="35"/>
      <c r="D54" s="35"/>
      <c r="E54" s="22"/>
      <c r="F54" s="45" t="str">
        <f>IFERROR((VLOOKUP(A54,Table1[#All],2,0)),"")</f>
        <v>سامح بلامون عبدالسيد</v>
      </c>
      <c r="G54" s="22"/>
      <c r="H54" s="22"/>
      <c r="I54" s="22"/>
      <c r="J54" s="53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28.95" customHeight="1" x14ac:dyDescent="0.4">
      <c r="A57" s="12"/>
      <c r="B57" s="159" t="s">
        <v>15</v>
      </c>
      <c r="C57" s="159"/>
      <c r="D57" s="22"/>
      <c r="E57" s="22"/>
      <c r="F57" s="22"/>
      <c r="G57" s="159" t="s">
        <v>16</v>
      </c>
      <c r="H57" s="159"/>
      <c r="I57" s="159"/>
      <c r="J57" s="159"/>
      <c r="K57" s="159"/>
      <c r="L57" s="13"/>
    </row>
    <row r="58" spans="1:12" ht="28.95" customHeight="1" x14ac:dyDescent="0.4">
      <c r="A58" s="130">
        <v>1</v>
      </c>
      <c r="B58" s="22" t="str">
        <f t="shared" ref="B58:B67" si="4">"الاستاذ "&amp;B11</f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95" customHeight="1" x14ac:dyDescent="0.4">
      <c r="A59" s="130">
        <v>2</v>
      </c>
      <c r="B59" s="22" t="str">
        <f t="shared" si="4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0">
        <v>3</v>
      </c>
      <c r="B60" s="22" t="str">
        <f t="shared" si="4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0">
        <v>4</v>
      </c>
      <c r="B61" s="22" t="str">
        <f t="shared" si="4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0">
        <v>5</v>
      </c>
      <c r="B62" s="22" t="str">
        <f t="shared" si="4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0">
        <v>6</v>
      </c>
      <c r="B63" s="22" t="str">
        <f t="shared" si="4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0">
        <v>7</v>
      </c>
      <c r="B64" s="22" t="str">
        <f t="shared" si="4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customHeight="1" x14ac:dyDescent="0.4">
      <c r="A65" s="130">
        <v>8</v>
      </c>
      <c r="B65" s="22" t="str">
        <f t="shared" si="4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5" customHeight="1" x14ac:dyDescent="0.4">
      <c r="A66" s="130">
        <v>9</v>
      </c>
      <c r="B66" s="22" t="str">
        <f t="shared" si="4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31.95" customHeight="1" x14ac:dyDescent="0.4">
      <c r="A67" s="130">
        <v>10</v>
      </c>
      <c r="B67" s="22" t="str">
        <f t="shared" si="4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233.25" customHeight="1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59.25" customHeight="1" x14ac:dyDescent="0.25">
      <c r="A70" s="12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13"/>
    </row>
    <row r="71" spans="1:12" ht="35.25" customHeight="1" thickBot="1" x14ac:dyDescent="0.45">
      <c r="A71" s="19"/>
      <c r="B71" s="20"/>
      <c r="C71" s="158" t="s">
        <v>30</v>
      </c>
      <c r="D71" s="158"/>
      <c r="E71" s="158"/>
      <c r="F71" s="158"/>
      <c r="G71" s="158"/>
      <c r="H71" s="158"/>
      <c r="I71" s="158"/>
      <c r="J71" s="158"/>
      <c r="K71" s="20"/>
      <c r="L71" s="30"/>
    </row>
  </sheetData>
  <sheetProtection selectLockedCells="1"/>
  <mergeCells count="42">
    <mergeCell ref="M40:N40"/>
    <mergeCell ref="F19:J19"/>
    <mergeCell ref="G65:K65"/>
    <mergeCell ref="G66:K66"/>
    <mergeCell ref="C31:I31"/>
    <mergeCell ref="D27:I27"/>
    <mergeCell ref="C42:J42"/>
    <mergeCell ref="D33:J33"/>
    <mergeCell ref="D34:J34"/>
    <mergeCell ref="D38:J38"/>
    <mergeCell ref="C40:J40"/>
    <mergeCell ref="D36:J36"/>
    <mergeCell ref="D39:J39"/>
    <mergeCell ref="D37:J37"/>
    <mergeCell ref="D28:I28"/>
    <mergeCell ref="B8:J8"/>
    <mergeCell ref="D25:I25"/>
    <mergeCell ref="D26:I26"/>
    <mergeCell ref="D29:I29"/>
    <mergeCell ref="D30:I30"/>
    <mergeCell ref="B21:H21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C71:J71"/>
    <mergeCell ref="B57:C57"/>
    <mergeCell ref="G57:K57"/>
    <mergeCell ref="G58:K58"/>
    <mergeCell ref="G67:K67"/>
    <mergeCell ref="G59:K59"/>
    <mergeCell ref="G60:K60"/>
    <mergeCell ref="G61:K61"/>
    <mergeCell ref="G62:K62"/>
    <mergeCell ref="G63:K63"/>
    <mergeCell ref="G64:K64"/>
  </mergeCells>
  <phoneticPr fontId="2" type="noConversion"/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N70"/>
  <sheetViews>
    <sheetView rightToLeft="1" view="pageBreakPreview" topLeftCell="A25" zoomScale="90" zoomScaleNormal="100" zoomScaleSheetLayoutView="90" workbookViewId="0">
      <selection activeCell="M40" sqref="M40:N4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2" t="s">
        <v>24</v>
      </c>
      <c r="C8" s="163"/>
      <c r="D8" s="163"/>
      <c r="E8" s="163"/>
      <c r="F8" s="163"/>
      <c r="G8" s="163"/>
      <c r="H8" s="163"/>
      <c r="I8" s="163"/>
      <c r="J8" s="163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3" t="s">
        <v>0</v>
      </c>
      <c r="C10" s="59">
        <f>E10</f>
        <v>0</v>
      </c>
      <c r="D10" s="43" t="s">
        <v>1</v>
      </c>
      <c r="E10" s="66"/>
      <c r="F10" s="43" t="s">
        <v>25</v>
      </c>
      <c r="G10" s="43"/>
      <c r="H10" s="43"/>
      <c r="I10" s="43"/>
      <c r="J10" s="43"/>
      <c r="K10" s="44"/>
      <c r="L10" s="42"/>
    </row>
    <row r="11" spans="1:12" s="1" customFormat="1" ht="28.2" customHeight="1" x14ac:dyDescent="0.4">
      <c r="A11" s="67" t="s">
        <v>81</v>
      </c>
      <c r="B11" s="6" t="str">
        <f>IFERROR(VLOOKUP(A11,Table1[#All],2,0),"")</f>
        <v/>
      </c>
      <c r="C11" s="6"/>
      <c r="D11" s="6"/>
      <c r="E11" s="7"/>
      <c r="F11" s="182" t="str">
        <f>IFERROR(VLOOKUP(A11,DATA!B3:D13,3,0),"")</f>
        <v/>
      </c>
      <c r="G11" s="168"/>
      <c r="H11" s="168"/>
      <c r="I11" s="168"/>
      <c r="J11" s="168"/>
      <c r="K11" s="49" t="s">
        <v>32</v>
      </c>
      <c r="L11" s="15"/>
    </row>
    <row r="12" spans="1:12" s="1" customFormat="1" ht="28.2" customHeight="1" x14ac:dyDescent="0.4">
      <c r="A12" s="67" t="s">
        <v>81</v>
      </c>
      <c r="B12" s="6" t="str">
        <f>IFERROR(VLOOKUP(A12,Table1[#All],2,0),"")</f>
        <v/>
      </c>
      <c r="C12" s="6"/>
      <c r="D12" s="6"/>
      <c r="E12" s="7"/>
      <c r="F12" s="168" t="str">
        <f>IFERROR(VLOOKUP(A12,DATA!B4:D14,3,0),"")</f>
        <v/>
      </c>
      <c r="G12" s="168"/>
      <c r="H12" s="168"/>
      <c r="I12" s="168"/>
      <c r="J12" s="168"/>
      <c r="K12" s="49" t="s">
        <v>32</v>
      </c>
      <c r="L12" s="15"/>
    </row>
    <row r="13" spans="1:12" s="1" customFormat="1" ht="28.2" customHeight="1" x14ac:dyDescent="0.4">
      <c r="A13" s="67" t="s">
        <v>81</v>
      </c>
      <c r="B13" s="6" t="str">
        <f>IFERROR(VLOOKUP(A13,Table1[#All],2,0),"")</f>
        <v/>
      </c>
      <c r="C13" s="6"/>
      <c r="D13" s="6"/>
      <c r="E13" s="7"/>
      <c r="F13" s="168" t="str">
        <f>IFERROR(VLOOKUP(A13,DATA!B4:D15,3,0),"")</f>
        <v/>
      </c>
      <c r="G13" s="168"/>
      <c r="H13" s="168"/>
      <c r="I13" s="168"/>
      <c r="J13" s="168"/>
      <c r="K13" s="49" t="s">
        <v>32</v>
      </c>
      <c r="L13" s="15"/>
    </row>
    <row r="14" spans="1:12" s="1" customFormat="1" ht="28.2" customHeight="1" x14ac:dyDescent="0.4">
      <c r="A14" s="67" t="s">
        <v>81</v>
      </c>
      <c r="B14" s="6" t="str">
        <f>IFERROR(VLOOKUP(A14,Table1[#All],2,0),"")</f>
        <v/>
      </c>
      <c r="C14" s="6"/>
      <c r="D14" s="6"/>
      <c r="E14" s="7"/>
      <c r="F14" s="168" t="str">
        <f>IFERROR(VLOOKUP(A14,DATA!B5:D16,3,0),"")</f>
        <v/>
      </c>
      <c r="G14" s="168"/>
      <c r="H14" s="168"/>
      <c r="I14" s="168"/>
      <c r="J14" s="168"/>
      <c r="K14" s="49" t="s">
        <v>32</v>
      </c>
      <c r="L14" s="15"/>
    </row>
    <row r="15" spans="1:12" s="1" customFormat="1" ht="28.2" customHeight="1" x14ac:dyDescent="0.4">
      <c r="A15" s="67" t="s">
        <v>81</v>
      </c>
      <c r="B15" s="6" t="str">
        <f>IFERROR(VLOOKUP(A15,Table1[#All],2,0),"")</f>
        <v/>
      </c>
      <c r="C15" s="6"/>
      <c r="D15" s="6"/>
      <c r="E15" s="7"/>
      <c r="F15" s="168" t="str">
        <f>IFERROR(VLOOKUP(A15,DATA!B6:D17,3,0),"")</f>
        <v/>
      </c>
      <c r="G15" s="168"/>
      <c r="H15" s="168"/>
      <c r="I15" s="168"/>
      <c r="J15" s="168"/>
      <c r="K15" s="49" t="s">
        <v>32</v>
      </c>
      <c r="L15" s="15"/>
    </row>
    <row r="16" spans="1:12" s="1" customFormat="1" ht="28.2" customHeight="1" x14ac:dyDescent="0.4">
      <c r="A16" s="67" t="s">
        <v>81</v>
      </c>
      <c r="B16" s="6" t="str">
        <f>IFERROR(VLOOKUP(A16,Table1[#All],2,0),"")</f>
        <v/>
      </c>
      <c r="C16" s="6"/>
      <c r="D16" s="6"/>
      <c r="E16" s="7"/>
      <c r="F16" s="168" t="str">
        <f>IFERROR(VLOOKUP(A16,DATA!B6:D18,3,0),"")</f>
        <v/>
      </c>
      <c r="G16" s="168"/>
      <c r="H16" s="168"/>
      <c r="I16" s="168"/>
      <c r="J16" s="168"/>
      <c r="K16" s="49" t="s">
        <v>32</v>
      </c>
      <c r="L16" s="15"/>
    </row>
    <row r="17" spans="1:13" s="1" customFormat="1" ht="28.2" customHeight="1" x14ac:dyDescent="0.4">
      <c r="A17" s="67" t="s">
        <v>81</v>
      </c>
      <c r="B17" s="6" t="str">
        <f>IFERROR(VLOOKUP(A17,Table1[#All],2,0),"")</f>
        <v/>
      </c>
      <c r="C17" s="6"/>
      <c r="D17" s="6"/>
      <c r="E17" s="7"/>
      <c r="F17" s="168" t="str">
        <f>IFERROR(VLOOKUP(A17,DATA!B6:D19,3,0),"")</f>
        <v/>
      </c>
      <c r="G17" s="168"/>
      <c r="H17" s="168"/>
      <c r="I17" s="168"/>
      <c r="J17" s="168"/>
      <c r="K17" s="49" t="s">
        <v>32</v>
      </c>
      <c r="L17" s="15"/>
    </row>
    <row r="18" spans="1:13" s="1" customFormat="1" ht="28.2" customHeight="1" x14ac:dyDescent="0.4">
      <c r="A18" s="67" t="s">
        <v>81</v>
      </c>
      <c r="B18" s="6" t="str">
        <f>IFERROR(VLOOKUP(A18,Table1[#All],2,0),"")</f>
        <v/>
      </c>
      <c r="C18" s="6"/>
      <c r="D18" s="6"/>
      <c r="E18" s="7"/>
      <c r="F18" s="168" t="str">
        <f>IFERROR(VLOOKUP(A18,DATA!B6:D20,3,0),"")</f>
        <v/>
      </c>
      <c r="G18" s="168"/>
      <c r="H18" s="168"/>
      <c r="I18" s="168"/>
      <c r="J18" s="168"/>
      <c r="K18" s="49" t="s">
        <v>32</v>
      </c>
      <c r="L18" s="15"/>
    </row>
    <row r="19" spans="1:13" s="1" customFormat="1" ht="28.2" customHeight="1" x14ac:dyDescent="0.4">
      <c r="A19" s="67" t="s">
        <v>81</v>
      </c>
      <c r="B19" s="6" t="str">
        <f>IFERROR(VLOOKUP(A19,Table1[#All],2,0),"")</f>
        <v/>
      </c>
      <c r="C19" s="6"/>
      <c r="D19" s="6"/>
      <c r="E19" s="7"/>
      <c r="F19" s="168" t="str">
        <f>IFERROR(VLOOKUP(A19,DATA!B6:D21,3,0),"")</f>
        <v/>
      </c>
      <c r="G19" s="168"/>
      <c r="H19" s="168"/>
      <c r="I19" s="168"/>
      <c r="J19" s="168"/>
      <c r="K19" s="49" t="s">
        <v>32</v>
      </c>
      <c r="L19" s="15"/>
    </row>
    <row r="20" spans="1:13" s="1" customFormat="1" ht="28.2" customHeight="1" x14ac:dyDescent="0.4">
      <c r="A20" s="67" t="s">
        <v>81</v>
      </c>
      <c r="B20" s="6" t="str">
        <f>IFERROR(VLOOKUP(A20,Table1[#All],2,0),"")</f>
        <v/>
      </c>
      <c r="C20" s="6"/>
      <c r="D20" s="6"/>
      <c r="E20" s="7"/>
      <c r="F20" s="168" t="str">
        <f>IFERROR(VLOOKUP(A20,DATA!B6:D20,3,0),"")</f>
        <v/>
      </c>
      <c r="G20" s="168"/>
      <c r="H20" s="168"/>
      <c r="I20" s="168"/>
      <c r="J20" s="168"/>
      <c r="K20" s="49" t="s">
        <v>32</v>
      </c>
      <c r="L20" s="15"/>
    </row>
    <row r="21" spans="1:13" ht="24" customHeight="1" x14ac:dyDescent="0.4">
      <c r="A21" s="12"/>
      <c r="B21" s="181" t="s">
        <v>35</v>
      </c>
      <c r="C21" s="181"/>
      <c r="D21" s="181"/>
      <c r="E21" s="181"/>
      <c r="F21" s="181"/>
      <c r="G21" s="181"/>
      <c r="H21" s="181"/>
      <c r="I21" s="54" t="s">
        <v>45</v>
      </c>
      <c r="J21" s="45" t="s">
        <v>27</v>
      </c>
      <c r="K21" s="22"/>
      <c r="L21" s="16"/>
      <c r="M21" s="2"/>
    </row>
    <row r="22" spans="1:13" ht="29.25" customHeight="1" x14ac:dyDescent="0.4">
      <c r="A22" s="12"/>
      <c r="B22" s="45" t="s">
        <v>55</v>
      </c>
      <c r="C22" s="22"/>
      <c r="D22" s="22"/>
      <c r="E22" s="22"/>
      <c r="F22" s="69"/>
      <c r="G22" s="62" t="s">
        <v>2</v>
      </c>
      <c r="H22" s="61"/>
      <c r="I22" s="70"/>
      <c r="J22" s="169" t="str">
        <f>NoToTxt(I22,"جنيها","قرش")&amp;" لاغير"</f>
        <v>صفر لاغير</v>
      </c>
      <c r="K22" s="169"/>
      <c r="L22" s="170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4" t="s">
        <v>6</v>
      </c>
      <c r="E25" s="164"/>
      <c r="F25" s="164"/>
      <c r="G25" s="164"/>
      <c r="H25" s="164"/>
      <c r="I25" s="164"/>
      <c r="J25" s="58" t="s">
        <v>5</v>
      </c>
      <c r="K25" s="25" t="s">
        <v>4</v>
      </c>
      <c r="L25" s="17"/>
      <c r="M25" s="2"/>
    </row>
    <row r="26" spans="1:13" ht="28.95" hidden="1" customHeight="1" x14ac:dyDescent="0.4">
      <c r="A26" s="12"/>
      <c r="B26" s="8"/>
      <c r="C26" s="26">
        <v>1</v>
      </c>
      <c r="D26" s="165" t="s">
        <v>60</v>
      </c>
      <c r="E26" s="165"/>
      <c r="F26" s="165"/>
      <c r="G26" s="165"/>
      <c r="H26" s="165"/>
      <c r="I26" s="165"/>
      <c r="J26" s="71"/>
      <c r="K26" s="72"/>
      <c r="L26" s="16"/>
      <c r="M26" s="2"/>
    </row>
    <row r="27" spans="1:13" ht="28.95" hidden="1" customHeight="1" x14ac:dyDescent="0.4">
      <c r="A27" s="12"/>
      <c r="B27" s="8"/>
      <c r="C27" s="26">
        <v>1</v>
      </c>
      <c r="D27" s="165" t="s">
        <v>61</v>
      </c>
      <c r="E27" s="165"/>
      <c r="F27" s="165"/>
      <c r="G27" s="165"/>
      <c r="H27" s="165"/>
      <c r="I27" s="165"/>
      <c r="J27" s="71"/>
      <c r="K27" s="72"/>
      <c r="L27" s="16"/>
      <c r="M27" s="2"/>
    </row>
    <row r="28" spans="1:13" ht="28.95" customHeight="1" x14ac:dyDescent="0.4">
      <c r="A28" s="12"/>
      <c r="B28" s="8"/>
      <c r="C28" s="26">
        <v>2</v>
      </c>
      <c r="D28" s="183" t="s">
        <v>62</v>
      </c>
      <c r="E28" s="184"/>
      <c r="F28" s="184"/>
      <c r="G28" s="184"/>
      <c r="H28" s="184"/>
      <c r="I28" s="185"/>
      <c r="J28" s="73"/>
      <c r="K28" s="75"/>
      <c r="L28" s="16"/>
      <c r="M28" s="2"/>
    </row>
    <row r="29" spans="1:13" ht="30.75" customHeight="1" x14ac:dyDescent="0.4">
      <c r="A29" s="12"/>
      <c r="B29" s="8"/>
      <c r="C29" s="26">
        <v>2</v>
      </c>
      <c r="D29" s="166" t="s">
        <v>63</v>
      </c>
      <c r="E29" s="167"/>
      <c r="F29" s="167"/>
      <c r="G29" s="167"/>
      <c r="H29" s="167"/>
      <c r="I29" s="167"/>
      <c r="J29" s="73"/>
      <c r="K29" s="74"/>
      <c r="L29" s="16"/>
      <c r="M29" s="2"/>
    </row>
    <row r="30" spans="1:13" ht="30.75" hidden="1" customHeight="1" x14ac:dyDescent="0.4">
      <c r="A30" s="12"/>
      <c r="B30" s="8"/>
      <c r="C30" s="26"/>
      <c r="D30" s="166"/>
      <c r="E30" s="167"/>
      <c r="F30" s="167"/>
      <c r="G30" s="167"/>
      <c r="H30" s="167"/>
      <c r="I30" s="167"/>
      <c r="J30" s="73"/>
      <c r="K30" s="74"/>
      <c r="L30" s="16"/>
      <c r="M30" s="2"/>
    </row>
    <row r="31" spans="1:13" ht="30.75" customHeight="1" thickBot="1" x14ac:dyDescent="0.45">
      <c r="A31" s="12"/>
      <c r="B31" s="8"/>
      <c r="C31" s="171" t="s">
        <v>9</v>
      </c>
      <c r="D31" s="172"/>
      <c r="E31" s="172"/>
      <c r="F31" s="172"/>
      <c r="G31" s="172"/>
      <c r="H31" s="172"/>
      <c r="I31" s="172"/>
      <c r="J31" s="109">
        <f>SUM(J26:J30)</f>
        <v>0</v>
      </c>
      <c r="K31" s="132">
        <f>SUM(K26:K30)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4" ht="22.8" x14ac:dyDescent="0.4">
      <c r="A33" s="12"/>
      <c r="B33" s="8"/>
      <c r="C33" s="23" t="s">
        <v>3</v>
      </c>
      <c r="D33" s="164" t="s">
        <v>6</v>
      </c>
      <c r="E33" s="164"/>
      <c r="F33" s="164"/>
      <c r="G33" s="164"/>
      <c r="H33" s="164"/>
      <c r="I33" s="164"/>
      <c r="J33" s="164"/>
      <c r="K33" s="25" t="s">
        <v>20</v>
      </c>
      <c r="L33" s="17"/>
      <c r="M33" s="2"/>
    </row>
    <row r="34" spans="1:14" ht="30.75" customHeight="1" x14ac:dyDescent="0.4">
      <c r="A34" s="12"/>
      <c r="B34" s="8"/>
      <c r="C34" s="26">
        <v>1</v>
      </c>
      <c r="D34" s="173" t="s">
        <v>17</v>
      </c>
      <c r="E34" s="173"/>
      <c r="F34" s="173"/>
      <c r="G34" s="173"/>
      <c r="H34" s="173"/>
      <c r="I34" s="173"/>
      <c r="J34" s="173"/>
      <c r="K34" s="75"/>
      <c r="L34" s="16"/>
      <c r="M34" s="2"/>
    </row>
    <row r="35" spans="1:14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6"/>
      <c r="L35" s="16"/>
      <c r="M35" s="2"/>
    </row>
    <row r="36" spans="1:14" ht="30.75" customHeight="1" x14ac:dyDescent="0.4">
      <c r="A36" s="12"/>
      <c r="B36" s="8"/>
      <c r="C36" s="26">
        <v>3</v>
      </c>
      <c r="D36" s="173" t="s">
        <v>19</v>
      </c>
      <c r="E36" s="173"/>
      <c r="F36" s="173"/>
      <c r="G36" s="174"/>
      <c r="H36" s="173"/>
      <c r="I36" s="173"/>
      <c r="J36" s="173"/>
      <c r="K36" s="75"/>
      <c r="L36" s="16"/>
      <c r="M36" s="2"/>
    </row>
    <row r="37" spans="1:14" ht="30.75" customHeight="1" x14ac:dyDescent="0.4">
      <c r="A37" s="12"/>
      <c r="B37" s="8"/>
      <c r="C37" s="34">
        <v>4</v>
      </c>
      <c r="D37" s="175" t="s">
        <v>72</v>
      </c>
      <c r="E37" s="176"/>
      <c r="F37" s="176"/>
      <c r="G37" s="176"/>
      <c r="H37" s="176"/>
      <c r="I37" s="176"/>
      <c r="J37" s="177"/>
      <c r="K37" s="76"/>
      <c r="L37" s="16"/>
      <c r="M37" s="2"/>
    </row>
    <row r="38" spans="1:14" ht="30" customHeight="1" x14ac:dyDescent="0.4">
      <c r="A38" s="12"/>
      <c r="B38" s="8"/>
      <c r="C38" s="26">
        <v>5</v>
      </c>
      <c r="D38" s="173" t="s">
        <v>11</v>
      </c>
      <c r="E38" s="173"/>
      <c r="F38" s="173"/>
      <c r="G38" s="173"/>
      <c r="H38" s="173"/>
      <c r="I38" s="173"/>
      <c r="J38" s="173"/>
      <c r="K38" s="75"/>
      <c r="L38" s="16"/>
      <c r="M38" s="2"/>
    </row>
    <row r="39" spans="1:14" ht="30" customHeight="1" x14ac:dyDescent="0.4">
      <c r="A39" s="12"/>
      <c r="B39" s="8"/>
      <c r="C39" s="34">
        <v>6</v>
      </c>
      <c r="D39" s="175" t="s">
        <v>21</v>
      </c>
      <c r="E39" s="176"/>
      <c r="F39" s="176"/>
      <c r="G39" s="176"/>
      <c r="H39" s="176"/>
      <c r="I39" s="176"/>
      <c r="J39" s="177"/>
      <c r="K39" s="77"/>
      <c r="L39" s="16"/>
      <c r="M39" s="2"/>
    </row>
    <row r="40" spans="1:14" ht="30.75" customHeight="1" thickBot="1" x14ac:dyDescent="0.45">
      <c r="A40" s="12"/>
      <c r="B40" s="8"/>
      <c r="C40" s="171" t="s">
        <v>12</v>
      </c>
      <c r="D40" s="172"/>
      <c r="E40" s="172"/>
      <c r="F40" s="172"/>
      <c r="G40" s="172"/>
      <c r="H40" s="172"/>
      <c r="I40" s="172"/>
      <c r="J40" s="172"/>
      <c r="K40" s="114">
        <f>SUM(K34:K38)-K39</f>
        <v>0</v>
      </c>
      <c r="L40" s="16"/>
      <c r="M40" s="195">
        <f>K40-K31</f>
        <v>0</v>
      </c>
      <c r="N40" s="196"/>
    </row>
    <row r="41" spans="1:14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4" ht="40.5" customHeight="1" thickBot="1" x14ac:dyDescent="0.45">
      <c r="A42" s="19"/>
      <c r="B42" s="20"/>
      <c r="C42" s="158" t="s">
        <v>30</v>
      </c>
      <c r="D42" s="158"/>
      <c r="E42" s="158"/>
      <c r="F42" s="158"/>
      <c r="G42" s="158"/>
      <c r="H42" s="158"/>
      <c r="I42" s="158"/>
      <c r="J42" s="158"/>
      <c r="K42" s="20"/>
      <c r="L42" s="21"/>
    </row>
    <row r="43" spans="1:14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4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4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4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4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4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97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3.75" customHeight="1" x14ac:dyDescent="0.4">
      <c r="A54" s="52">
        <v>2</v>
      </c>
      <c r="B54" s="22" t="s">
        <v>33</v>
      </c>
      <c r="C54" s="35"/>
      <c r="D54" s="35"/>
      <c r="E54" s="22"/>
      <c r="F54" s="45" t="str">
        <f>IFERROR((VLOOKUP(A54,Table1[#All],2,0)),"")</f>
        <v>سامح بلامون عبدالسيد</v>
      </c>
      <c r="G54" s="22"/>
      <c r="H54" s="22"/>
      <c r="I54" s="22"/>
      <c r="J54" s="53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42.75" customHeight="1" x14ac:dyDescent="0.4">
      <c r="A57" s="12"/>
      <c r="B57" s="159" t="s">
        <v>15</v>
      </c>
      <c r="C57" s="159"/>
      <c r="D57" s="22"/>
      <c r="E57" s="22"/>
      <c r="F57" s="22"/>
      <c r="G57" s="159" t="s">
        <v>16</v>
      </c>
      <c r="H57" s="159"/>
      <c r="I57" s="159"/>
      <c r="J57" s="159"/>
      <c r="K57" s="159"/>
      <c r="L57" s="13"/>
    </row>
    <row r="58" spans="1:12" ht="28.95" customHeight="1" x14ac:dyDescent="0.4">
      <c r="A58" s="130">
        <v>1</v>
      </c>
      <c r="B58" s="22" t="str">
        <f t="shared" ref="B58:B67" si="0">"الاستاذ "&amp;B11</f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95" customHeight="1" x14ac:dyDescent="0.4">
      <c r="A59" s="130">
        <v>2</v>
      </c>
      <c r="B59" s="22" t="str">
        <f t="shared" si="0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0">
        <v>3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0">
        <v>4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0">
        <v>5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0">
        <v>6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0">
        <v>7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customHeight="1" x14ac:dyDescent="0.4">
      <c r="A65" s="130">
        <v>8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5" customHeight="1" x14ac:dyDescent="0.4">
      <c r="A66" s="130">
        <v>9</v>
      </c>
      <c r="B66" s="22" t="str">
        <f t="shared" si="0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95" customHeight="1" x14ac:dyDescent="0.4">
      <c r="A67" s="130">
        <v>10</v>
      </c>
      <c r="B67" s="22" t="str">
        <f t="shared" si="0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233.25" customHeight="1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59.25" customHeight="1" x14ac:dyDescent="0.25">
      <c r="A69" s="12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3"/>
    </row>
    <row r="70" spans="1:12" ht="35.25" customHeight="1" thickBot="1" x14ac:dyDescent="0.45">
      <c r="A70" s="19"/>
      <c r="B70" s="20"/>
      <c r="C70" s="158" t="s">
        <v>30</v>
      </c>
      <c r="D70" s="158"/>
      <c r="E70" s="158"/>
      <c r="F70" s="158"/>
      <c r="G70" s="158"/>
      <c r="H70" s="158"/>
      <c r="I70" s="158"/>
      <c r="J70" s="158"/>
      <c r="K70" s="20"/>
      <c r="L70" s="30"/>
    </row>
  </sheetData>
  <mergeCells count="42">
    <mergeCell ref="M40:N40"/>
    <mergeCell ref="D28:I28"/>
    <mergeCell ref="D37:J37"/>
    <mergeCell ref="D29:I29"/>
    <mergeCell ref="D30:I30"/>
    <mergeCell ref="C31:I31"/>
    <mergeCell ref="D33:J33"/>
    <mergeCell ref="D34:J34"/>
    <mergeCell ref="D36:J36"/>
    <mergeCell ref="B8:J8"/>
    <mergeCell ref="B21:H21"/>
    <mergeCell ref="D25:I25"/>
    <mergeCell ref="D26:I26"/>
    <mergeCell ref="D27:I27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D38:J38"/>
    <mergeCell ref="D39:J39"/>
    <mergeCell ref="C40:J40"/>
    <mergeCell ref="C42:J42"/>
    <mergeCell ref="B57:C57"/>
    <mergeCell ref="G57:K57"/>
    <mergeCell ref="G64:K64"/>
    <mergeCell ref="G65:K65"/>
    <mergeCell ref="C70:J70"/>
    <mergeCell ref="G58:K58"/>
    <mergeCell ref="G59:K59"/>
    <mergeCell ref="G60:K60"/>
    <mergeCell ref="G61:K61"/>
    <mergeCell ref="G62:K62"/>
    <mergeCell ref="G63:K63"/>
    <mergeCell ref="G66:K66"/>
    <mergeCell ref="G67:K67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ignoredErrors>
    <ignoredError sqref="F19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N70"/>
  <sheetViews>
    <sheetView rightToLeft="1" tabSelected="1" view="pageBreakPreview" topLeftCell="A25" zoomScale="90" zoomScaleNormal="100" zoomScaleSheetLayoutView="90" workbookViewId="0">
      <selection activeCell="M39" sqref="M39:N39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2" t="s">
        <v>24</v>
      </c>
      <c r="C8" s="163"/>
      <c r="D8" s="163"/>
      <c r="E8" s="163"/>
      <c r="F8" s="163"/>
      <c r="G8" s="163"/>
      <c r="H8" s="163"/>
      <c r="I8" s="163"/>
      <c r="J8" s="163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3" t="s">
        <v>0</v>
      </c>
      <c r="C10" s="59">
        <f>E10</f>
        <v>0</v>
      </c>
      <c r="D10" s="43" t="s">
        <v>1</v>
      </c>
      <c r="E10" s="41"/>
      <c r="F10" s="43" t="s">
        <v>25</v>
      </c>
      <c r="G10" s="43"/>
      <c r="H10" s="43"/>
      <c r="I10" s="43"/>
      <c r="J10" s="43"/>
      <c r="K10" s="44"/>
      <c r="L10" s="42"/>
    </row>
    <row r="11" spans="1:12" s="1" customFormat="1" ht="28.2" customHeight="1" x14ac:dyDescent="0.4">
      <c r="A11" s="46" t="s">
        <v>89</v>
      </c>
      <c r="B11" s="6" t="str">
        <f>IFERROR(VLOOKUP(A11,Table1[#All],2,0),"")</f>
        <v/>
      </c>
      <c r="C11" s="6"/>
      <c r="D11" s="6"/>
      <c r="E11" s="7"/>
      <c r="F11" s="168" t="str">
        <f>IFERROR(VLOOKUP(A11,DATA!B3:D13,3,0),"")</f>
        <v/>
      </c>
      <c r="G11" s="168"/>
      <c r="H11" s="168"/>
      <c r="I11" s="168"/>
      <c r="J11" s="168"/>
      <c r="K11" s="49" t="s">
        <v>32</v>
      </c>
      <c r="L11" s="15"/>
    </row>
    <row r="12" spans="1:12" s="1" customFormat="1" ht="28.2" customHeight="1" x14ac:dyDescent="0.4">
      <c r="A12" s="46" t="s">
        <v>81</v>
      </c>
      <c r="B12" s="6" t="str">
        <f>IFERROR(VLOOKUP(A12,Table1[#All],2,0),"")</f>
        <v/>
      </c>
      <c r="C12" s="6"/>
      <c r="D12" s="6"/>
      <c r="E12" s="7"/>
      <c r="F12" s="168" t="str">
        <f>IFERROR(VLOOKUP(A12,DATA!B4:D14,3,0),"")</f>
        <v/>
      </c>
      <c r="G12" s="168"/>
      <c r="H12" s="168"/>
      <c r="I12" s="168"/>
      <c r="J12" s="168"/>
      <c r="K12" s="49" t="s">
        <v>32</v>
      </c>
      <c r="L12" s="15"/>
    </row>
    <row r="13" spans="1:12" s="1" customFormat="1" ht="28.2" customHeight="1" x14ac:dyDescent="0.4">
      <c r="A13" s="46" t="s">
        <v>81</v>
      </c>
      <c r="B13" s="6" t="str">
        <f>IFERROR(VLOOKUP(A13,Table1[#All],2,0),"")</f>
        <v/>
      </c>
      <c r="C13" s="6"/>
      <c r="D13" s="6"/>
      <c r="E13" s="7"/>
      <c r="F13" s="168" t="str">
        <f>IFERROR(VLOOKUP(A13,DATA!B4:D15,3,0),"")</f>
        <v/>
      </c>
      <c r="G13" s="168"/>
      <c r="H13" s="168"/>
      <c r="I13" s="168"/>
      <c r="J13" s="168"/>
      <c r="K13" s="49" t="s">
        <v>32</v>
      </c>
      <c r="L13" s="15"/>
    </row>
    <row r="14" spans="1:12" s="1" customFormat="1" ht="28.2" customHeight="1" x14ac:dyDescent="0.4">
      <c r="A14" s="46" t="s">
        <v>81</v>
      </c>
      <c r="B14" s="6" t="str">
        <f>IFERROR(VLOOKUP(A14,Table1[#All],2,0),"")</f>
        <v/>
      </c>
      <c r="C14" s="6"/>
      <c r="D14" s="6"/>
      <c r="E14" s="7"/>
      <c r="F14" s="168" t="str">
        <f>IFERROR(VLOOKUP(A14,DATA!B5:D16,3,0),"")</f>
        <v/>
      </c>
      <c r="G14" s="168"/>
      <c r="H14" s="168"/>
      <c r="I14" s="168"/>
      <c r="J14" s="168"/>
      <c r="K14" s="49" t="s">
        <v>32</v>
      </c>
      <c r="L14" s="15"/>
    </row>
    <row r="15" spans="1:12" s="1" customFormat="1" ht="28.2" customHeight="1" x14ac:dyDescent="0.4">
      <c r="A15" s="46" t="s">
        <v>81</v>
      </c>
      <c r="B15" s="6" t="str">
        <f>IFERROR(VLOOKUP(A15,Table1[#All],2,0),"")</f>
        <v/>
      </c>
      <c r="C15" s="6"/>
      <c r="D15" s="6"/>
      <c r="E15" s="7"/>
      <c r="F15" s="168" t="str">
        <f>IFERROR(VLOOKUP(A15,DATA!B6:D17,3,0),"")</f>
        <v/>
      </c>
      <c r="G15" s="168"/>
      <c r="H15" s="168"/>
      <c r="I15" s="168"/>
      <c r="J15" s="168"/>
      <c r="K15" s="49" t="s">
        <v>32</v>
      </c>
      <c r="L15" s="15"/>
    </row>
    <row r="16" spans="1:12" s="1" customFormat="1" ht="28.2" customHeight="1" x14ac:dyDescent="0.4">
      <c r="A16" s="46" t="s">
        <v>81</v>
      </c>
      <c r="B16" s="6" t="str">
        <f>IFERROR(VLOOKUP(A16,Table1[#All],2,0),"")</f>
        <v/>
      </c>
      <c r="C16" s="6"/>
      <c r="D16" s="6"/>
      <c r="E16" s="7"/>
      <c r="F16" s="168" t="str">
        <f>IFERROR(VLOOKUP(A16,DATA!B6:D18,3,0),"")</f>
        <v/>
      </c>
      <c r="G16" s="168"/>
      <c r="H16" s="168"/>
      <c r="I16" s="168"/>
      <c r="J16" s="168"/>
      <c r="K16" s="49" t="s">
        <v>32</v>
      </c>
      <c r="L16" s="15"/>
    </row>
    <row r="17" spans="1:13" s="1" customFormat="1" ht="28.2" customHeight="1" x14ac:dyDescent="0.4">
      <c r="A17" s="46" t="s">
        <v>81</v>
      </c>
      <c r="B17" s="6" t="str">
        <f>IFERROR(VLOOKUP(A17,Table1[#All],2,0),"")</f>
        <v/>
      </c>
      <c r="C17" s="6"/>
      <c r="D17" s="6"/>
      <c r="E17" s="7"/>
      <c r="F17" s="168" t="str">
        <f>IFERROR(VLOOKUP(A17,DATA!B6:D19,3,0),"")</f>
        <v/>
      </c>
      <c r="G17" s="168"/>
      <c r="H17" s="168"/>
      <c r="I17" s="168"/>
      <c r="J17" s="168"/>
      <c r="K17" s="49" t="s">
        <v>32</v>
      </c>
      <c r="L17" s="15"/>
    </row>
    <row r="18" spans="1:13" s="1" customFormat="1" ht="28.2" customHeight="1" x14ac:dyDescent="0.4">
      <c r="A18" s="46" t="s">
        <v>81</v>
      </c>
      <c r="B18" s="6" t="str">
        <f>IFERROR(VLOOKUP(A18,Table1[#All],2,0),"")</f>
        <v/>
      </c>
      <c r="C18" s="6"/>
      <c r="D18" s="6"/>
      <c r="E18" s="7"/>
      <c r="F18" s="168" t="str">
        <f>IFERROR(VLOOKUP(A18,DATA!B6:D20,3,0),"")</f>
        <v/>
      </c>
      <c r="G18" s="168"/>
      <c r="H18" s="168"/>
      <c r="I18" s="168"/>
      <c r="J18" s="168"/>
      <c r="K18" s="49" t="s">
        <v>32</v>
      </c>
      <c r="L18" s="15"/>
    </row>
    <row r="19" spans="1:13" s="1" customFormat="1" ht="28.2" customHeight="1" x14ac:dyDescent="0.4">
      <c r="A19" s="46" t="s">
        <v>81</v>
      </c>
      <c r="B19" s="6" t="str">
        <f>IFERROR(VLOOKUP(A19,Table1[#All],2,0),"")</f>
        <v/>
      </c>
      <c r="C19" s="6"/>
      <c r="D19" s="6"/>
      <c r="E19" s="7"/>
      <c r="F19" s="168" t="str">
        <f>IFERROR(VLOOKUP(A19,DATA!B6:D21,3,0),"")</f>
        <v/>
      </c>
      <c r="G19" s="168"/>
      <c r="H19" s="168"/>
      <c r="I19" s="168"/>
      <c r="J19" s="168"/>
      <c r="K19" s="49" t="s">
        <v>32</v>
      </c>
      <c r="L19" s="15"/>
    </row>
    <row r="20" spans="1:13" s="1" customFormat="1" ht="28.2" customHeight="1" x14ac:dyDescent="0.4">
      <c r="A20" s="46" t="s">
        <v>81</v>
      </c>
      <c r="B20" s="6" t="str">
        <f>IFERROR(VLOOKUP(A20,Table1[#All],2,0),"")</f>
        <v/>
      </c>
      <c r="C20" s="6"/>
      <c r="D20" s="6"/>
      <c r="E20" s="7"/>
      <c r="F20" s="168" t="str">
        <f>IFERROR(VLOOKUP(A20,DATA!B6:D20,3,0),"")</f>
        <v/>
      </c>
      <c r="G20" s="168"/>
      <c r="H20" s="168"/>
      <c r="I20" s="168"/>
      <c r="J20" s="168"/>
      <c r="K20" s="49" t="s">
        <v>32</v>
      </c>
      <c r="L20" s="15"/>
    </row>
    <row r="21" spans="1:13" ht="24" customHeight="1" x14ac:dyDescent="0.4">
      <c r="A21" s="12"/>
      <c r="B21" s="128" t="s">
        <v>35</v>
      </c>
      <c r="C21" s="127"/>
      <c r="D21" s="127"/>
      <c r="E21" s="127"/>
      <c r="F21" s="188" t="s">
        <v>59</v>
      </c>
      <c r="G21" s="188"/>
      <c r="H21" s="188"/>
      <c r="I21" s="188"/>
      <c r="J21" s="129" t="s">
        <v>27</v>
      </c>
      <c r="K21" s="22"/>
      <c r="L21" s="16"/>
      <c r="M21" s="2"/>
    </row>
    <row r="22" spans="1:13" ht="29.25" customHeight="1" x14ac:dyDescent="0.4">
      <c r="A22" s="12"/>
      <c r="B22" s="62" t="s">
        <v>55</v>
      </c>
      <c r="C22" s="22"/>
      <c r="D22" s="22"/>
      <c r="E22" s="22"/>
      <c r="F22" s="64"/>
      <c r="G22" s="62" t="s">
        <v>2</v>
      </c>
      <c r="H22" s="61"/>
      <c r="I22" s="63"/>
      <c r="J22" s="186" t="str">
        <f>NoToTxt(I22,"جنيها","قرش")&amp;" لاغير"</f>
        <v>صفر لاغير</v>
      </c>
      <c r="K22" s="186"/>
      <c r="L22" s="187"/>
      <c r="M22" s="2"/>
    </row>
    <row r="23" spans="1:13" ht="29.25" customHeight="1" x14ac:dyDescent="0.4">
      <c r="A23" s="12"/>
      <c r="B23" s="6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4" t="s">
        <v>6</v>
      </c>
      <c r="E25" s="164"/>
      <c r="F25" s="164"/>
      <c r="G25" s="164"/>
      <c r="H25" s="164"/>
      <c r="I25" s="164"/>
      <c r="J25" s="65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5" t="s">
        <v>82</v>
      </c>
      <c r="E26" s="165"/>
      <c r="F26" s="165"/>
      <c r="G26" s="165"/>
      <c r="H26" s="165"/>
      <c r="I26" s="165"/>
      <c r="J26" s="38"/>
      <c r="K26" s="39"/>
      <c r="L26" s="16"/>
      <c r="M26" s="2"/>
    </row>
    <row r="27" spans="1:13" ht="28.95" hidden="1" customHeight="1" x14ac:dyDescent="0.4">
      <c r="A27" s="12"/>
      <c r="B27" s="8"/>
      <c r="C27" s="26">
        <v>2</v>
      </c>
      <c r="D27" s="165" t="s">
        <v>56</v>
      </c>
      <c r="E27" s="165"/>
      <c r="F27" s="165"/>
      <c r="G27" s="165"/>
      <c r="H27" s="165"/>
      <c r="I27" s="165"/>
      <c r="J27" s="38"/>
      <c r="K27" s="39"/>
      <c r="L27" s="16"/>
      <c r="M27" s="2"/>
    </row>
    <row r="28" spans="1:13" ht="30.75" hidden="1" customHeight="1" x14ac:dyDescent="0.4">
      <c r="A28" s="12"/>
      <c r="B28" s="8"/>
      <c r="C28" s="26">
        <v>3</v>
      </c>
      <c r="D28" s="166" t="s">
        <v>57</v>
      </c>
      <c r="E28" s="167"/>
      <c r="F28" s="167"/>
      <c r="G28" s="167"/>
      <c r="H28" s="167"/>
      <c r="I28" s="167"/>
      <c r="J28" s="38"/>
      <c r="K28" s="55"/>
      <c r="L28" s="16"/>
      <c r="M28" s="2"/>
    </row>
    <row r="29" spans="1:13" ht="30.75" hidden="1" customHeight="1" x14ac:dyDescent="0.4">
      <c r="A29" s="12"/>
      <c r="B29" s="8"/>
      <c r="C29" s="26"/>
      <c r="D29" s="166"/>
      <c r="E29" s="167"/>
      <c r="F29" s="167"/>
      <c r="G29" s="167"/>
      <c r="H29" s="167"/>
      <c r="I29" s="167"/>
      <c r="J29" s="38"/>
      <c r="K29" s="55"/>
      <c r="L29" s="16"/>
      <c r="M29" s="2"/>
    </row>
    <row r="30" spans="1:13" ht="30.75" customHeight="1" thickBot="1" x14ac:dyDescent="0.45">
      <c r="A30" s="12"/>
      <c r="B30" s="8"/>
      <c r="C30" s="171" t="s">
        <v>9</v>
      </c>
      <c r="D30" s="172"/>
      <c r="E30" s="172"/>
      <c r="F30" s="172"/>
      <c r="G30" s="172"/>
      <c r="H30" s="172"/>
      <c r="I30" s="172"/>
      <c r="J30" s="38">
        <f>SUM(J26:J29)</f>
        <v>0</v>
      </c>
      <c r="K30" s="39">
        <f>SUM(K26:K29)</f>
        <v>0</v>
      </c>
      <c r="L30" s="16"/>
      <c r="M30" s="2"/>
    </row>
    <row r="31" spans="1:13" ht="29.25" customHeight="1" thickBot="1" x14ac:dyDescent="0.45">
      <c r="A31" s="12"/>
      <c r="B31" s="62" t="s">
        <v>10</v>
      </c>
      <c r="C31" s="22"/>
      <c r="D31" s="22"/>
      <c r="E31" s="22"/>
      <c r="F31" s="22"/>
      <c r="G31" s="22"/>
      <c r="H31" s="22"/>
      <c r="I31" s="22"/>
      <c r="J31" s="22"/>
      <c r="K31" s="22"/>
      <c r="L31" s="16"/>
      <c r="M31" s="2"/>
    </row>
    <row r="32" spans="1:13" ht="22.8" x14ac:dyDescent="0.4">
      <c r="A32" s="12"/>
      <c r="B32" s="8"/>
      <c r="C32" s="23" t="s">
        <v>3</v>
      </c>
      <c r="D32" s="164" t="s">
        <v>6</v>
      </c>
      <c r="E32" s="164"/>
      <c r="F32" s="164"/>
      <c r="G32" s="164"/>
      <c r="H32" s="164"/>
      <c r="I32" s="164"/>
      <c r="J32" s="164"/>
      <c r="K32" s="25" t="s">
        <v>20</v>
      </c>
      <c r="L32" s="17"/>
      <c r="M32" s="2"/>
    </row>
    <row r="33" spans="1:14" ht="30.75" customHeight="1" x14ac:dyDescent="0.4">
      <c r="A33" s="12"/>
      <c r="B33" s="8"/>
      <c r="C33" s="26">
        <v>1</v>
      </c>
      <c r="D33" s="173" t="s">
        <v>17</v>
      </c>
      <c r="E33" s="173"/>
      <c r="F33" s="173"/>
      <c r="G33" s="173"/>
      <c r="H33" s="173"/>
      <c r="I33" s="173"/>
      <c r="J33" s="173"/>
      <c r="K33" s="39"/>
      <c r="L33" s="16"/>
      <c r="M33" s="2"/>
    </row>
    <row r="34" spans="1:14" ht="30.75" customHeight="1" x14ac:dyDescent="0.4">
      <c r="A34" s="12"/>
      <c r="B34" s="8"/>
      <c r="C34" s="26">
        <v>2</v>
      </c>
      <c r="D34" s="31" t="s">
        <v>18</v>
      </c>
      <c r="E34" s="32"/>
      <c r="F34" s="32"/>
      <c r="G34" s="32"/>
      <c r="H34" s="32"/>
      <c r="I34" s="32"/>
      <c r="J34" s="33"/>
      <c r="K34" s="37"/>
      <c r="L34" s="16"/>
      <c r="M34" s="2"/>
    </row>
    <row r="35" spans="1:14" ht="30.75" customHeight="1" x14ac:dyDescent="0.4">
      <c r="A35" s="12"/>
      <c r="B35" s="8"/>
      <c r="C35" s="26">
        <v>3</v>
      </c>
      <c r="D35" s="189" t="s">
        <v>58</v>
      </c>
      <c r="E35" s="189"/>
      <c r="F35" s="189"/>
      <c r="G35" s="190"/>
      <c r="H35" s="189"/>
      <c r="I35" s="189"/>
      <c r="J35" s="189"/>
      <c r="K35" s="39"/>
      <c r="L35" s="16"/>
      <c r="M35" s="2"/>
    </row>
    <row r="36" spans="1:14" ht="30.75" customHeight="1" x14ac:dyDescent="0.4">
      <c r="A36" s="12"/>
      <c r="B36" s="8"/>
      <c r="C36" s="34">
        <v>4</v>
      </c>
      <c r="D36" s="175" t="s">
        <v>72</v>
      </c>
      <c r="E36" s="176"/>
      <c r="F36" s="176"/>
      <c r="G36" s="176"/>
      <c r="H36" s="176"/>
      <c r="I36" s="176"/>
      <c r="J36" s="177"/>
      <c r="K36" s="37"/>
      <c r="L36" s="16"/>
      <c r="M36" s="2"/>
    </row>
    <row r="37" spans="1:14" ht="30" customHeight="1" x14ac:dyDescent="0.4">
      <c r="A37" s="12"/>
      <c r="B37" s="8"/>
      <c r="C37" s="26">
        <v>5</v>
      </c>
      <c r="D37" s="173" t="s">
        <v>11</v>
      </c>
      <c r="E37" s="173"/>
      <c r="F37" s="173"/>
      <c r="G37" s="173"/>
      <c r="H37" s="173"/>
      <c r="I37" s="173"/>
      <c r="J37" s="173"/>
      <c r="K37" s="39"/>
      <c r="L37" s="16"/>
      <c r="M37" s="2"/>
    </row>
    <row r="38" spans="1:14" ht="30" customHeight="1" x14ac:dyDescent="0.4">
      <c r="A38" s="12"/>
      <c r="B38" s="8"/>
      <c r="C38" s="34">
        <v>6</v>
      </c>
      <c r="D38" s="175" t="s">
        <v>21</v>
      </c>
      <c r="E38" s="176"/>
      <c r="F38" s="176"/>
      <c r="G38" s="176"/>
      <c r="H38" s="176"/>
      <c r="I38" s="176"/>
      <c r="J38" s="177"/>
      <c r="K38" s="36"/>
      <c r="L38" s="16"/>
      <c r="M38" s="2"/>
    </row>
    <row r="39" spans="1:14" ht="30.75" customHeight="1" thickBot="1" x14ac:dyDescent="0.45">
      <c r="A39" s="12"/>
      <c r="B39" s="8"/>
      <c r="C39" s="171" t="s">
        <v>12</v>
      </c>
      <c r="D39" s="172"/>
      <c r="E39" s="172"/>
      <c r="F39" s="172"/>
      <c r="G39" s="172"/>
      <c r="H39" s="172"/>
      <c r="I39" s="172"/>
      <c r="J39" s="172"/>
      <c r="K39" s="40">
        <f>SUM(K33:K37)-K38</f>
        <v>0</v>
      </c>
      <c r="L39" s="16"/>
      <c r="M39" s="194"/>
      <c r="N39" s="193"/>
    </row>
    <row r="40" spans="1:14" ht="59.25" customHeight="1" x14ac:dyDescent="0.4">
      <c r="A40" s="12"/>
      <c r="B40" s="3"/>
      <c r="C40" s="3"/>
      <c r="D40" s="3"/>
      <c r="E40" s="3"/>
      <c r="F40" s="3"/>
      <c r="G40" s="3"/>
      <c r="H40" s="3"/>
      <c r="I40" s="3"/>
      <c r="J40" s="3"/>
      <c r="K40" s="4"/>
      <c r="L40" s="18"/>
    </row>
    <row r="41" spans="1:14" ht="40.5" customHeight="1" thickBot="1" x14ac:dyDescent="0.45">
      <c r="A41" s="19"/>
      <c r="B41" s="20"/>
      <c r="C41" s="158" t="s">
        <v>30</v>
      </c>
      <c r="D41" s="158"/>
      <c r="E41" s="158"/>
      <c r="F41" s="158"/>
      <c r="G41" s="158"/>
      <c r="H41" s="158"/>
      <c r="I41" s="158"/>
      <c r="J41" s="158"/>
      <c r="K41" s="20"/>
      <c r="L41" s="21"/>
    </row>
    <row r="42" spans="1:14" ht="12" customHeight="1" x14ac:dyDescent="0.4">
      <c r="A42" s="9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9"/>
    </row>
    <row r="43" spans="1:14" ht="22.8" x14ac:dyDescent="0.4">
      <c r="A43" s="12"/>
      <c r="B43" s="8"/>
      <c r="C43" s="8"/>
      <c r="D43" s="8"/>
      <c r="E43" s="8"/>
      <c r="F43" s="8"/>
      <c r="G43" s="8"/>
      <c r="H43" s="8"/>
      <c r="I43" s="8"/>
      <c r="J43" s="8"/>
      <c r="K43" s="8"/>
      <c r="L43" s="16"/>
    </row>
    <row r="44" spans="1:14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4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4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4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4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ht="33.75" customHeight="1" x14ac:dyDescent="0.4">
      <c r="A51" s="12"/>
      <c r="B51" s="22" t="s">
        <v>22</v>
      </c>
      <c r="C51" s="22"/>
      <c r="D51" s="22"/>
      <c r="E51" s="22"/>
      <c r="F51" s="22"/>
      <c r="G51" s="22"/>
      <c r="H51" s="22"/>
      <c r="I51" s="22"/>
      <c r="J51" s="22"/>
      <c r="K51" s="22"/>
      <c r="L51" s="13"/>
    </row>
    <row r="52" spans="1:12" ht="30" customHeight="1" x14ac:dyDescent="0.4">
      <c r="A52" s="12"/>
      <c r="B52" s="97" t="s">
        <v>84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97" t="s">
        <v>88</v>
      </c>
      <c r="C53" s="22"/>
      <c r="D53" s="22"/>
      <c r="E53" s="22"/>
      <c r="F53" s="22" t="s">
        <v>86</v>
      </c>
      <c r="G53" s="22"/>
      <c r="H53" s="22"/>
      <c r="I53" s="22"/>
      <c r="J53" s="22"/>
      <c r="K53" s="22"/>
      <c r="L53" s="13"/>
    </row>
    <row r="54" spans="1:12" ht="33.75" customHeight="1" x14ac:dyDescent="0.4">
      <c r="A54" s="52">
        <v>2</v>
      </c>
      <c r="B54" s="22" t="s">
        <v>33</v>
      </c>
      <c r="C54" s="35"/>
      <c r="D54" s="35"/>
      <c r="E54" s="22"/>
      <c r="F54" s="45" t="str">
        <f>IFERROR((VLOOKUP(A54,Table1[#All],2,0)),"")</f>
        <v>سامح بلامون عبدالسيد</v>
      </c>
      <c r="G54" s="22"/>
      <c r="H54" s="22"/>
      <c r="I54" s="22"/>
      <c r="J54" s="53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42.75" customHeight="1" x14ac:dyDescent="0.4">
      <c r="A57" s="12"/>
      <c r="B57" s="159" t="s">
        <v>15</v>
      </c>
      <c r="C57" s="159"/>
      <c r="D57" s="22"/>
      <c r="E57" s="22"/>
      <c r="F57" s="22"/>
      <c r="G57" s="159" t="s">
        <v>16</v>
      </c>
      <c r="H57" s="159"/>
      <c r="I57" s="159"/>
      <c r="J57" s="159"/>
      <c r="K57" s="159"/>
      <c r="L57" s="13"/>
    </row>
    <row r="58" spans="1:12" ht="28.95" customHeight="1" x14ac:dyDescent="0.4">
      <c r="A58" s="130">
        <v>1</v>
      </c>
      <c r="B58" s="22" t="str">
        <f t="shared" ref="B58:B67" si="0">"الاستاذ "&amp;B11</f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95" customHeight="1" x14ac:dyDescent="0.4">
      <c r="A59" s="130">
        <v>2</v>
      </c>
      <c r="B59" s="22" t="str">
        <f t="shared" si="0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0">
        <v>3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0">
        <v>4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0">
        <v>5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0">
        <v>6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0">
        <v>7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customHeight="1" x14ac:dyDescent="0.4">
      <c r="A65" s="130">
        <v>8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5" customHeight="1" x14ac:dyDescent="0.4">
      <c r="A66" s="130">
        <v>9</v>
      </c>
      <c r="B66" s="22" t="str">
        <f t="shared" si="0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95" customHeight="1" x14ac:dyDescent="0.4">
      <c r="A67" s="130">
        <v>10</v>
      </c>
      <c r="B67" s="22" t="str">
        <f t="shared" si="0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233.25" customHeight="1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59.25" customHeight="1" x14ac:dyDescent="0.25">
      <c r="A69" s="12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3"/>
    </row>
    <row r="70" spans="1:12" ht="35.25" customHeight="1" thickBot="1" x14ac:dyDescent="0.45">
      <c r="A70" s="19"/>
      <c r="B70" s="20"/>
      <c r="C70" s="158" t="s">
        <v>30</v>
      </c>
      <c r="D70" s="158"/>
      <c r="E70" s="158"/>
      <c r="F70" s="158"/>
      <c r="G70" s="158"/>
      <c r="H70" s="158"/>
      <c r="I70" s="158"/>
      <c r="J70" s="158"/>
      <c r="K70" s="20"/>
      <c r="L70" s="30"/>
    </row>
  </sheetData>
  <mergeCells count="41">
    <mergeCell ref="M39:N39"/>
    <mergeCell ref="C70:J70"/>
    <mergeCell ref="C41:J41"/>
    <mergeCell ref="B57:C57"/>
    <mergeCell ref="G57:K57"/>
    <mergeCell ref="G58:K58"/>
    <mergeCell ref="G59:K59"/>
    <mergeCell ref="G60:K60"/>
    <mergeCell ref="G61:K61"/>
    <mergeCell ref="G62:K62"/>
    <mergeCell ref="G63:K63"/>
    <mergeCell ref="G64:K64"/>
    <mergeCell ref="G65:K65"/>
    <mergeCell ref="G66:K66"/>
    <mergeCell ref="G67:K67"/>
    <mergeCell ref="C39:J39"/>
    <mergeCell ref="D26:I26"/>
    <mergeCell ref="D27:I27"/>
    <mergeCell ref="D28:I28"/>
    <mergeCell ref="D29:I29"/>
    <mergeCell ref="C30:I30"/>
    <mergeCell ref="D32:J32"/>
    <mergeCell ref="D33:J33"/>
    <mergeCell ref="D35:J35"/>
    <mergeCell ref="D36:J36"/>
    <mergeCell ref="D37:J37"/>
    <mergeCell ref="D38:J38"/>
    <mergeCell ref="D25:I25"/>
    <mergeCell ref="B8:J8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F21:I21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1" max="11" man="1"/>
  </rowBreaks>
  <ignoredErrors>
    <ignoredError sqref="F19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7030A0"/>
  </sheetPr>
  <dimension ref="A1:M70"/>
  <sheetViews>
    <sheetView rightToLeft="1" view="pageBreakPreview" topLeftCell="A4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2" t="s">
        <v>24</v>
      </c>
      <c r="C8" s="163"/>
      <c r="D8" s="163"/>
      <c r="E8" s="163"/>
      <c r="F8" s="163"/>
      <c r="G8" s="163"/>
      <c r="H8" s="163"/>
      <c r="I8" s="163"/>
      <c r="J8" s="163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3" t="s">
        <v>0</v>
      </c>
      <c r="C10" s="59">
        <f>E10</f>
        <v>0</v>
      </c>
      <c r="D10" s="43" t="s">
        <v>1</v>
      </c>
      <c r="E10" s="41"/>
      <c r="F10" s="43" t="s">
        <v>25</v>
      </c>
      <c r="G10" s="43"/>
      <c r="H10" s="43"/>
      <c r="I10" s="43"/>
      <c r="J10" s="43"/>
      <c r="K10" s="44"/>
      <c r="L10" s="42"/>
    </row>
    <row r="11" spans="1:12" s="1" customFormat="1" ht="28.2" customHeight="1" x14ac:dyDescent="0.4">
      <c r="A11" s="46" t="s">
        <v>89</v>
      </c>
      <c r="B11" s="6" t="str">
        <f>IFERROR(VLOOKUP(A11,Table1[#All],2,0),"")</f>
        <v/>
      </c>
      <c r="C11" s="6"/>
      <c r="D11" s="6"/>
      <c r="E11" s="7"/>
      <c r="F11" s="168" t="str">
        <f>IFERROR(VLOOKUP(A11,DATA!B3:D13,3,0),"")</f>
        <v/>
      </c>
      <c r="G11" s="168"/>
      <c r="H11" s="168"/>
      <c r="I11" s="168"/>
      <c r="J11" s="168"/>
      <c r="K11" s="49" t="s">
        <v>32</v>
      </c>
      <c r="L11" s="15"/>
    </row>
    <row r="12" spans="1:12" s="1" customFormat="1" ht="28.2" customHeight="1" x14ac:dyDescent="0.4">
      <c r="A12" s="46" t="s">
        <v>81</v>
      </c>
      <c r="B12" s="6" t="str">
        <f>IFERROR(VLOOKUP(A12,Table1[#All],2,0),"")</f>
        <v/>
      </c>
      <c r="C12" s="6"/>
      <c r="D12" s="6"/>
      <c r="E12" s="7"/>
      <c r="F12" s="168" t="str">
        <f>IFERROR(VLOOKUP(A12,DATA!B4:D14,3,0),"")</f>
        <v/>
      </c>
      <c r="G12" s="168"/>
      <c r="H12" s="168"/>
      <c r="I12" s="168"/>
      <c r="J12" s="168"/>
      <c r="K12" s="49" t="s">
        <v>32</v>
      </c>
      <c r="L12" s="15"/>
    </row>
    <row r="13" spans="1:12" s="1" customFormat="1" ht="28.2" customHeight="1" x14ac:dyDescent="0.4">
      <c r="A13" s="46" t="s">
        <v>81</v>
      </c>
      <c r="B13" s="6" t="str">
        <f>IFERROR(VLOOKUP(A13,Table1[#All],2,0),"")</f>
        <v/>
      </c>
      <c r="C13" s="6"/>
      <c r="D13" s="6"/>
      <c r="E13" s="7"/>
      <c r="F13" s="168" t="str">
        <f>IFERROR(VLOOKUP(A13,DATA!B4:D15,3,0),"")</f>
        <v/>
      </c>
      <c r="G13" s="168"/>
      <c r="H13" s="168"/>
      <c r="I13" s="168"/>
      <c r="J13" s="168"/>
      <c r="K13" s="49" t="s">
        <v>32</v>
      </c>
      <c r="L13" s="15"/>
    </row>
    <row r="14" spans="1:12" s="1" customFormat="1" ht="28.2" customHeight="1" x14ac:dyDescent="0.4">
      <c r="A14" s="46" t="s">
        <v>81</v>
      </c>
      <c r="B14" s="6" t="str">
        <f>IFERROR(VLOOKUP(A14,Table1[#All],2,0),"")</f>
        <v/>
      </c>
      <c r="C14" s="6"/>
      <c r="D14" s="6"/>
      <c r="E14" s="7"/>
      <c r="F14" s="168" t="str">
        <f>IFERROR(VLOOKUP(A14,DATA!B5:D16,3,0),"")</f>
        <v/>
      </c>
      <c r="G14" s="168"/>
      <c r="H14" s="168"/>
      <c r="I14" s="168"/>
      <c r="J14" s="168"/>
      <c r="K14" s="49" t="s">
        <v>32</v>
      </c>
      <c r="L14" s="15"/>
    </row>
    <row r="15" spans="1:12" s="1" customFormat="1" ht="28.2" customHeight="1" x14ac:dyDescent="0.4">
      <c r="A15" s="46" t="s">
        <v>81</v>
      </c>
      <c r="B15" s="6" t="str">
        <f>IFERROR(VLOOKUP(A15,Table1[#All],2,0),"")</f>
        <v/>
      </c>
      <c r="C15" s="6"/>
      <c r="D15" s="6"/>
      <c r="E15" s="7"/>
      <c r="F15" s="168" t="str">
        <f>IFERROR(VLOOKUP(A15,DATA!B6:D17,3,0),"")</f>
        <v/>
      </c>
      <c r="G15" s="168"/>
      <c r="H15" s="168"/>
      <c r="I15" s="168"/>
      <c r="J15" s="168"/>
      <c r="K15" s="49" t="s">
        <v>32</v>
      </c>
      <c r="L15" s="15"/>
    </row>
    <row r="16" spans="1:12" s="1" customFormat="1" ht="28.2" customHeight="1" x14ac:dyDescent="0.4">
      <c r="A16" s="46" t="s">
        <v>81</v>
      </c>
      <c r="B16" s="6" t="str">
        <f>IFERROR(VLOOKUP(A16,Table1[#All],2,0),"")</f>
        <v/>
      </c>
      <c r="C16" s="6"/>
      <c r="D16" s="6"/>
      <c r="E16" s="7"/>
      <c r="F16" s="168" t="str">
        <f>IFERROR(VLOOKUP(A16,DATA!B6:D18,3,0),"")</f>
        <v/>
      </c>
      <c r="G16" s="168"/>
      <c r="H16" s="168"/>
      <c r="I16" s="168"/>
      <c r="J16" s="168"/>
      <c r="K16" s="49" t="s">
        <v>32</v>
      </c>
      <c r="L16" s="15"/>
    </row>
    <row r="17" spans="1:13" s="1" customFormat="1" ht="28.2" customHeight="1" x14ac:dyDescent="0.4">
      <c r="A17" s="46" t="s">
        <v>81</v>
      </c>
      <c r="B17" s="6" t="str">
        <f>IFERROR(VLOOKUP(A17,Table1[#All],2,0),"")</f>
        <v/>
      </c>
      <c r="C17" s="6"/>
      <c r="D17" s="6"/>
      <c r="E17" s="7"/>
      <c r="F17" s="168" t="str">
        <f>IFERROR(VLOOKUP(A17,DATA!B6:D19,3,0),"")</f>
        <v/>
      </c>
      <c r="G17" s="168"/>
      <c r="H17" s="168"/>
      <c r="I17" s="168"/>
      <c r="J17" s="168"/>
      <c r="K17" s="49" t="s">
        <v>32</v>
      </c>
      <c r="L17" s="15"/>
    </row>
    <row r="18" spans="1:13" s="1" customFormat="1" ht="28.2" customHeight="1" x14ac:dyDescent="0.4">
      <c r="A18" s="46" t="s">
        <v>81</v>
      </c>
      <c r="B18" s="6" t="str">
        <f>IFERROR(VLOOKUP(A18,Table1[#All],2,0),"")</f>
        <v/>
      </c>
      <c r="C18" s="6"/>
      <c r="D18" s="6"/>
      <c r="E18" s="7"/>
      <c r="F18" s="168" t="str">
        <f>IFERROR(VLOOKUP(A18,DATA!B6:D20,3,0),"")</f>
        <v/>
      </c>
      <c r="G18" s="168"/>
      <c r="H18" s="168"/>
      <c r="I18" s="168"/>
      <c r="J18" s="168"/>
      <c r="K18" s="49" t="s">
        <v>32</v>
      </c>
      <c r="L18" s="15"/>
    </row>
    <row r="19" spans="1:13" s="1" customFormat="1" ht="28.2" customHeight="1" x14ac:dyDescent="0.4">
      <c r="A19" s="46" t="s">
        <v>89</v>
      </c>
      <c r="B19" s="6" t="str">
        <f>IFERROR(VLOOKUP(A19,Table1[#All],2,0),"")</f>
        <v/>
      </c>
      <c r="C19" s="6"/>
      <c r="D19" s="6"/>
      <c r="E19" s="7"/>
      <c r="F19" s="168" t="str">
        <f>IFERROR(VLOOKUP(A19,DATA!B7:D21,3,0),"")</f>
        <v/>
      </c>
      <c r="G19" s="168"/>
      <c r="H19" s="168"/>
      <c r="I19" s="168"/>
      <c r="J19" s="168"/>
      <c r="K19" s="49" t="s">
        <v>32</v>
      </c>
      <c r="L19" s="15"/>
    </row>
    <row r="20" spans="1:13" s="1" customFormat="1" ht="28.2" customHeight="1" x14ac:dyDescent="0.4">
      <c r="A20" s="46" t="s">
        <v>81</v>
      </c>
      <c r="B20" s="6" t="str">
        <f>IFERROR(VLOOKUP(A20,Table1[#All],2,0),"")</f>
        <v/>
      </c>
      <c r="C20" s="6"/>
      <c r="D20" s="6"/>
      <c r="E20" s="7"/>
      <c r="F20" s="168" t="str">
        <f>IFERROR(VLOOKUP(A20,DATA!B6:D20,3,0),"")</f>
        <v/>
      </c>
      <c r="G20" s="168"/>
      <c r="H20" s="168"/>
      <c r="I20" s="168"/>
      <c r="J20" s="168"/>
      <c r="K20" s="49" t="s">
        <v>32</v>
      </c>
      <c r="L20" s="15"/>
    </row>
    <row r="21" spans="1:13" ht="24" customHeight="1" x14ac:dyDescent="0.4">
      <c r="A21" s="12"/>
      <c r="B21" s="128" t="s">
        <v>35</v>
      </c>
      <c r="C21" s="127"/>
      <c r="D21" s="127"/>
      <c r="E21" s="127"/>
      <c r="F21" s="188" t="s">
        <v>87</v>
      </c>
      <c r="G21" s="188"/>
      <c r="H21" s="188"/>
      <c r="I21" s="188"/>
      <c r="J21" s="129" t="s">
        <v>27</v>
      </c>
      <c r="K21" s="22"/>
      <c r="L21" s="16"/>
      <c r="M21" s="2"/>
    </row>
    <row r="22" spans="1:13" ht="29.25" customHeight="1" x14ac:dyDescent="0.4">
      <c r="A22" s="12"/>
      <c r="B22" s="62" t="s">
        <v>55</v>
      </c>
      <c r="C22" s="22"/>
      <c r="D22" s="22"/>
      <c r="E22" s="22"/>
      <c r="F22" s="64"/>
      <c r="G22" s="62" t="s">
        <v>2</v>
      </c>
      <c r="H22" s="61"/>
      <c r="I22" s="63"/>
      <c r="J22" s="186" t="str">
        <f>NoToTxt(I22,"جنيها","قرش")&amp;" لاغير"</f>
        <v>صفر لاغير</v>
      </c>
      <c r="K22" s="186"/>
      <c r="L22" s="187"/>
      <c r="M22" s="2"/>
    </row>
    <row r="23" spans="1:13" ht="29.25" customHeight="1" x14ac:dyDescent="0.4">
      <c r="A23" s="12"/>
      <c r="B23" s="6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4" t="s">
        <v>6</v>
      </c>
      <c r="E25" s="164"/>
      <c r="F25" s="164"/>
      <c r="G25" s="164"/>
      <c r="H25" s="164"/>
      <c r="I25" s="164"/>
      <c r="J25" s="137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5" t="s">
        <v>82</v>
      </c>
      <c r="E26" s="165"/>
      <c r="F26" s="165"/>
      <c r="G26" s="165"/>
      <c r="H26" s="165"/>
      <c r="I26" s="165"/>
      <c r="J26" s="38"/>
      <c r="K26" s="39"/>
      <c r="L26" s="16"/>
      <c r="M26" s="2"/>
    </row>
    <row r="27" spans="1:13" ht="28.95" hidden="1" customHeight="1" x14ac:dyDescent="0.4">
      <c r="A27" s="12"/>
      <c r="B27" s="8"/>
      <c r="C27" s="26">
        <v>2</v>
      </c>
      <c r="D27" s="165" t="s">
        <v>56</v>
      </c>
      <c r="E27" s="165"/>
      <c r="F27" s="165"/>
      <c r="G27" s="165"/>
      <c r="H27" s="165"/>
      <c r="I27" s="165"/>
      <c r="J27" s="38"/>
      <c r="K27" s="39"/>
      <c r="L27" s="16"/>
      <c r="M27" s="2"/>
    </row>
    <row r="28" spans="1:13" ht="30.75" hidden="1" customHeight="1" x14ac:dyDescent="0.4">
      <c r="A28" s="12"/>
      <c r="B28" s="8"/>
      <c r="C28" s="26">
        <v>3</v>
      </c>
      <c r="D28" s="166" t="s">
        <v>57</v>
      </c>
      <c r="E28" s="167"/>
      <c r="F28" s="167"/>
      <c r="G28" s="167"/>
      <c r="H28" s="167"/>
      <c r="I28" s="167"/>
      <c r="J28" s="38"/>
      <c r="K28" s="55"/>
      <c r="L28" s="16"/>
      <c r="M28" s="2"/>
    </row>
    <row r="29" spans="1:13" ht="30.75" hidden="1" customHeight="1" x14ac:dyDescent="0.4">
      <c r="A29" s="12"/>
      <c r="B29" s="8"/>
      <c r="C29" s="26"/>
      <c r="D29" s="166"/>
      <c r="E29" s="167"/>
      <c r="F29" s="167"/>
      <c r="G29" s="167"/>
      <c r="H29" s="167"/>
      <c r="I29" s="167"/>
      <c r="J29" s="38"/>
      <c r="K29" s="55"/>
      <c r="L29" s="16"/>
      <c r="M29" s="2"/>
    </row>
    <row r="30" spans="1:13" ht="30.75" customHeight="1" thickBot="1" x14ac:dyDescent="0.45">
      <c r="A30" s="12"/>
      <c r="B30" s="8"/>
      <c r="C30" s="171" t="s">
        <v>9</v>
      </c>
      <c r="D30" s="172"/>
      <c r="E30" s="172"/>
      <c r="F30" s="172"/>
      <c r="G30" s="172"/>
      <c r="H30" s="172"/>
      <c r="I30" s="172"/>
      <c r="J30" s="38">
        <f>SUM(J26:J29)</f>
        <v>0</v>
      </c>
      <c r="K30" s="39">
        <f>SUM(K26:K29)</f>
        <v>0</v>
      </c>
      <c r="L30" s="16"/>
      <c r="M30" s="2"/>
    </row>
    <row r="31" spans="1:13" ht="29.25" customHeight="1" thickBot="1" x14ac:dyDescent="0.45">
      <c r="A31" s="12"/>
      <c r="B31" s="62" t="s">
        <v>10</v>
      </c>
      <c r="C31" s="22"/>
      <c r="D31" s="22"/>
      <c r="E31" s="22"/>
      <c r="F31" s="22"/>
      <c r="G31" s="22"/>
      <c r="H31" s="22"/>
      <c r="I31" s="22"/>
      <c r="J31" s="22"/>
      <c r="K31" s="22"/>
      <c r="L31" s="16"/>
      <c r="M31" s="2"/>
    </row>
    <row r="32" spans="1:13" ht="22.8" x14ac:dyDescent="0.4">
      <c r="A32" s="12"/>
      <c r="B32" s="8"/>
      <c r="C32" s="23" t="s">
        <v>3</v>
      </c>
      <c r="D32" s="164" t="s">
        <v>6</v>
      </c>
      <c r="E32" s="164"/>
      <c r="F32" s="164"/>
      <c r="G32" s="164"/>
      <c r="H32" s="164"/>
      <c r="I32" s="164"/>
      <c r="J32" s="164"/>
      <c r="K32" s="25" t="s">
        <v>20</v>
      </c>
      <c r="L32" s="17"/>
      <c r="M32" s="2"/>
    </row>
    <row r="33" spans="1:13" ht="30.75" customHeight="1" x14ac:dyDescent="0.4">
      <c r="A33" s="12"/>
      <c r="B33" s="8"/>
      <c r="C33" s="26">
        <v>1</v>
      </c>
      <c r="D33" s="173" t="s">
        <v>17</v>
      </c>
      <c r="E33" s="173"/>
      <c r="F33" s="173"/>
      <c r="G33" s="173"/>
      <c r="H33" s="173"/>
      <c r="I33" s="173"/>
      <c r="J33" s="173"/>
      <c r="K33" s="39"/>
      <c r="L33" s="16"/>
      <c r="M33" s="2"/>
    </row>
    <row r="34" spans="1:13" ht="30.75" customHeight="1" x14ac:dyDescent="0.4">
      <c r="A34" s="12"/>
      <c r="B34" s="8"/>
      <c r="C34" s="26">
        <v>2</v>
      </c>
      <c r="D34" s="31" t="s">
        <v>18</v>
      </c>
      <c r="E34" s="32"/>
      <c r="F34" s="32"/>
      <c r="G34" s="32"/>
      <c r="H34" s="32"/>
      <c r="I34" s="32"/>
      <c r="J34" s="33"/>
      <c r="K34" s="37"/>
      <c r="L34" s="16"/>
      <c r="M34" s="2"/>
    </row>
    <row r="35" spans="1:13" ht="30.75" customHeight="1" x14ac:dyDescent="0.4">
      <c r="A35" s="12"/>
      <c r="B35" s="8"/>
      <c r="C35" s="26">
        <v>3</v>
      </c>
      <c r="D35" s="189" t="s">
        <v>58</v>
      </c>
      <c r="E35" s="189"/>
      <c r="F35" s="189"/>
      <c r="G35" s="190"/>
      <c r="H35" s="189"/>
      <c r="I35" s="189"/>
      <c r="J35" s="189"/>
      <c r="K35" s="39"/>
      <c r="L35" s="16"/>
      <c r="M35" s="2"/>
    </row>
    <row r="36" spans="1:13" ht="30.75" customHeight="1" x14ac:dyDescent="0.4">
      <c r="A36" s="12"/>
      <c r="B36" s="8"/>
      <c r="C36" s="34">
        <v>4</v>
      </c>
      <c r="D36" s="175" t="s">
        <v>72</v>
      </c>
      <c r="E36" s="176"/>
      <c r="F36" s="176"/>
      <c r="G36" s="176"/>
      <c r="H36" s="176"/>
      <c r="I36" s="176"/>
      <c r="J36" s="177"/>
      <c r="K36" s="37"/>
      <c r="L36" s="16"/>
      <c r="M36" s="2"/>
    </row>
    <row r="37" spans="1:13" ht="30" customHeight="1" x14ac:dyDescent="0.4">
      <c r="A37" s="12"/>
      <c r="B37" s="8"/>
      <c r="C37" s="26">
        <v>5</v>
      </c>
      <c r="D37" s="173" t="s">
        <v>11</v>
      </c>
      <c r="E37" s="173"/>
      <c r="F37" s="173"/>
      <c r="G37" s="173"/>
      <c r="H37" s="173"/>
      <c r="I37" s="173"/>
      <c r="J37" s="173"/>
      <c r="K37" s="39"/>
      <c r="L37" s="16"/>
      <c r="M37" s="2"/>
    </row>
    <row r="38" spans="1:13" ht="30" customHeight="1" x14ac:dyDescent="0.4">
      <c r="A38" s="12"/>
      <c r="B38" s="8"/>
      <c r="C38" s="34">
        <v>6</v>
      </c>
      <c r="D38" s="175" t="s">
        <v>21</v>
      </c>
      <c r="E38" s="176"/>
      <c r="F38" s="176"/>
      <c r="G38" s="176"/>
      <c r="H38" s="176"/>
      <c r="I38" s="176"/>
      <c r="J38" s="177"/>
      <c r="K38" s="36"/>
      <c r="L38" s="16"/>
      <c r="M38" s="2"/>
    </row>
    <row r="39" spans="1:13" ht="30.75" customHeight="1" thickBot="1" x14ac:dyDescent="0.45">
      <c r="A39" s="12"/>
      <c r="B39" s="8"/>
      <c r="C39" s="171" t="s">
        <v>12</v>
      </c>
      <c r="D39" s="172"/>
      <c r="E39" s="172"/>
      <c r="F39" s="172"/>
      <c r="G39" s="172"/>
      <c r="H39" s="172"/>
      <c r="I39" s="172"/>
      <c r="J39" s="172"/>
      <c r="K39" s="40">
        <f>SUM(K33:K37)-K38</f>
        <v>0</v>
      </c>
      <c r="L39" s="16"/>
      <c r="M39" s="2"/>
    </row>
    <row r="40" spans="1:13" ht="59.25" customHeight="1" x14ac:dyDescent="0.4">
      <c r="A40" s="12"/>
      <c r="B40" s="3"/>
      <c r="C40" s="3"/>
      <c r="D40" s="3"/>
      <c r="E40" s="3"/>
      <c r="F40" s="3"/>
      <c r="G40" s="3"/>
      <c r="H40" s="3"/>
      <c r="I40" s="3"/>
      <c r="J40" s="3"/>
      <c r="K40" s="4"/>
      <c r="L40" s="18"/>
    </row>
    <row r="41" spans="1:13" ht="40.5" customHeight="1" thickBot="1" x14ac:dyDescent="0.45">
      <c r="A41" s="19"/>
      <c r="B41" s="20"/>
      <c r="C41" s="158" t="s">
        <v>30</v>
      </c>
      <c r="D41" s="158"/>
      <c r="E41" s="158"/>
      <c r="F41" s="158"/>
      <c r="G41" s="158"/>
      <c r="H41" s="158"/>
      <c r="I41" s="158"/>
      <c r="J41" s="158"/>
      <c r="K41" s="20"/>
      <c r="L41" s="21"/>
    </row>
    <row r="42" spans="1:13" ht="12" customHeight="1" x14ac:dyDescent="0.4">
      <c r="A42" s="9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9"/>
    </row>
    <row r="43" spans="1:13" ht="22.8" x14ac:dyDescent="0.4">
      <c r="A43" s="12"/>
      <c r="B43" s="8"/>
      <c r="C43" s="8"/>
      <c r="D43" s="8"/>
      <c r="E43" s="8"/>
      <c r="F43" s="8"/>
      <c r="G43" s="8"/>
      <c r="H43" s="8"/>
      <c r="I43" s="8"/>
      <c r="J43" s="8"/>
      <c r="K43" s="8"/>
      <c r="L43" s="16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ht="33.75" customHeight="1" x14ac:dyDescent="0.4">
      <c r="A51" s="12"/>
      <c r="B51" s="22" t="s">
        <v>22</v>
      </c>
      <c r="C51" s="22"/>
      <c r="D51" s="22"/>
      <c r="E51" s="22"/>
      <c r="F51" s="22"/>
      <c r="G51" s="22"/>
      <c r="H51" s="22"/>
      <c r="I51" s="22"/>
      <c r="J51" s="22"/>
      <c r="K51" s="22"/>
      <c r="L51" s="13"/>
    </row>
    <row r="52" spans="1:12" ht="30" customHeight="1" x14ac:dyDescent="0.4">
      <c r="A52" s="12"/>
      <c r="B52" s="97" t="s">
        <v>84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97" t="s">
        <v>85</v>
      </c>
      <c r="C53" s="22"/>
      <c r="D53" s="22"/>
      <c r="E53" s="22"/>
      <c r="F53" s="22" t="s">
        <v>86</v>
      </c>
      <c r="G53" s="22"/>
      <c r="H53" s="22"/>
      <c r="I53" s="22"/>
      <c r="J53" s="22"/>
      <c r="K53" s="22"/>
      <c r="L53" s="13"/>
    </row>
    <row r="54" spans="1:12" ht="33.75" customHeight="1" x14ac:dyDescent="0.4">
      <c r="A54" s="52">
        <v>2</v>
      </c>
      <c r="B54" s="22" t="s">
        <v>33</v>
      </c>
      <c r="C54" s="35"/>
      <c r="D54" s="35"/>
      <c r="E54" s="22"/>
      <c r="F54" s="45" t="str">
        <f>IFERROR((VLOOKUP(A54,Table1[#All],2,0)),"")</f>
        <v>سامح بلامون عبدالسيد</v>
      </c>
      <c r="G54" s="22"/>
      <c r="H54" s="22"/>
      <c r="I54" s="22"/>
      <c r="J54" s="53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42.75" customHeight="1" x14ac:dyDescent="0.4">
      <c r="A57" s="12"/>
      <c r="B57" s="159" t="s">
        <v>15</v>
      </c>
      <c r="C57" s="159"/>
      <c r="D57" s="22"/>
      <c r="E57" s="22"/>
      <c r="F57" s="22"/>
      <c r="G57" s="159" t="s">
        <v>16</v>
      </c>
      <c r="H57" s="159"/>
      <c r="I57" s="159"/>
      <c r="J57" s="159"/>
      <c r="K57" s="159"/>
      <c r="L57" s="13"/>
    </row>
    <row r="58" spans="1:12" ht="28.95" customHeight="1" x14ac:dyDescent="0.4">
      <c r="A58" s="130">
        <v>1</v>
      </c>
      <c r="B58" s="22" t="str">
        <f t="shared" ref="B58:B67" si="0">"الاستاذ "&amp;B11</f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95" customHeight="1" x14ac:dyDescent="0.4">
      <c r="A59" s="130">
        <v>2</v>
      </c>
      <c r="B59" s="22" t="str">
        <f t="shared" si="0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0">
        <v>3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0">
        <v>4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0">
        <v>5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0">
        <v>6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0">
        <v>7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customHeight="1" x14ac:dyDescent="0.4">
      <c r="A65" s="130">
        <v>8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5" customHeight="1" x14ac:dyDescent="0.4">
      <c r="A66" s="130">
        <v>9</v>
      </c>
      <c r="B66" s="22" t="str">
        <f t="shared" si="0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95" customHeight="1" x14ac:dyDescent="0.4">
      <c r="A67" s="130">
        <v>10</v>
      </c>
      <c r="B67" s="22" t="str">
        <f t="shared" si="0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233.25" customHeight="1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59.25" customHeight="1" x14ac:dyDescent="0.25">
      <c r="A69" s="12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3"/>
    </row>
    <row r="70" spans="1:12" ht="35.25" customHeight="1" thickBot="1" x14ac:dyDescent="0.45">
      <c r="A70" s="19"/>
      <c r="B70" s="20"/>
      <c r="C70" s="158" t="s">
        <v>30</v>
      </c>
      <c r="D70" s="158"/>
      <c r="E70" s="158"/>
      <c r="F70" s="158"/>
      <c r="G70" s="158"/>
      <c r="H70" s="158"/>
      <c r="I70" s="158"/>
      <c r="J70" s="158"/>
      <c r="K70" s="20"/>
      <c r="L70" s="30"/>
    </row>
  </sheetData>
  <mergeCells count="40">
    <mergeCell ref="F15:J15"/>
    <mergeCell ref="B8:J8"/>
    <mergeCell ref="F11:J11"/>
    <mergeCell ref="F12:J12"/>
    <mergeCell ref="F13:J13"/>
    <mergeCell ref="F14:J14"/>
    <mergeCell ref="D29:I29"/>
    <mergeCell ref="F16:J16"/>
    <mergeCell ref="F17:J17"/>
    <mergeCell ref="F18:J18"/>
    <mergeCell ref="F19:J19"/>
    <mergeCell ref="F20:J20"/>
    <mergeCell ref="F21:I21"/>
    <mergeCell ref="J22:L22"/>
    <mergeCell ref="D25:I25"/>
    <mergeCell ref="D26:I26"/>
    <mergeCell ref="D27:I27"/>
    <mergeCell ref="D28:I28"/>
    <mergeCell ref="G58:K58"/>
    <mergeCell ref="C30:I30"/>
    <mergeCell ref="D32:J32"/>
    <mergeCell ref="D33:J33"/>
    <mergeCell ref="D35:J35"/>
    <mergeCell ref="D36:J36"/>
    <mergeCell ref="D37:J37"/>
    <mergeCell ref="D38:J38"/>
    <mergeCell ref="C39:J39"/>
    <mergeCell ref="C41:J41"/>
    <mergeCell ref="B57:C57"/>
    <mergeCell ref="G57:K57"/>
    <mergeCell ref="G65:K65"/>
    <mergeCell ref="G66:K66"/>
    <mergeCell ref="G67:K67"/>
    <mergeCell ref="C70:J70"/>
    <mergeCell ref="G59:K59"/>
    <mergeCell ref="G60:K60"/>
    <mergeCell ref="G61:K61"/>
    <mergeCell ref="G62:K62"/>
    <mergeCell ref="G63:K63"/>
    <mergeCell ref="G64:K64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1" max="11" man="1"/>
  </rowBreaks>
  <ignoredErrors>
    <ignoredError sqref="F19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M67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2" t="s">
        <v>24</v>
      </c>
      <c r="C8" s="163"/>
      <c r="D8" s="163"/>
      <c r="E8" s="163"/>
      <c r="F8" s="163"/>
      <c r="G8" s="163"/>
      <c r="H8" s="163"/>
      <c r="I8" s="163"/>
      <c r="J8" s="163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3" t="s">
        <v>0</v>
      </c>
      <c r="C10" s="59">
        <f>E10</f>
        <v>0</v>
      </c>
      <c r="D10" s="43" t="s">
        <v>1</v>
      </c>
      <c r="E10" s="41"/>
      <c r="F10" s="43" t="s">
        <v>25</v>
      </c>
      <c r="G10" s="43"/>
      <c r="H10" s="43"/>
      <c r="I10" s="43"/>
      <c r="J10" s="43"/>
      <c r="K10" s="44"/>
      <c r="L10" s="42"/>
    </row>
    <row r="11" spans="1:12" s="1" customFormat="1" ht="28.2" customHeight="1" x14ac:dyDescent="0.4">
      <c r="A11" s="46" t="s">
        <v>81</v>
      </c>
      <c r="B11" s="6" t="str">
        <f>IFERROR(VLOOKUP(A11,Table1[#All],2,0),"")</f>
        <v/>
      </c>
      <c r="C11" s="6"/>
      <c r="D11" s="6"/>
      <c r="E11" s="7"/>
      <c r="F11" s="182" t="str">
        <f>IFERROR(VLOOKUP(A11,DATA!B3:D13,3,0),"")</f>
        <v/>
      </c>
      <c r="G11" s="168"/>
      <c r="H11" s="168"/>
      <c r="I11" s="168"/>
      <c r="J11" s="168"/>
      <c r="K11" s="49" t="s">
        <v>32</v>
      </c>
      <c r="L11" s="15"/>
    </row>
    <row r="12" spans="1:12" s="1" customFormat="1" ht="28.2" customHeight="1" x14ac:dyDescent="0.4">
      <c r="A12" s="46" t="s">
        <v>81</v>
      </c>
      <c r="B12" s="6" t="str">
        <f>IFERROR(VLOOKUP(A12,Table1[#All],2,0),"")</f>
        <v/>
      </c>
      <c r="C12" s="6"/>
      <c r="D12" s="6"/>
      <c r="E12" s="7"/>
      <c r="F12" s="168" t="str">
        <f>IFERROR(VLOOKUP(A12,DATA!B4:D14,3,0),"")</f>
        <v/>
      </c>
      <c r="G12" s="168"/>
      <c r="H12" s="168"/>
      <c r="I12" s="168"/>
      <c r="J12" s="168"/>
      <c r="K12" s="49" t="s">
        <v>32</v>
      </c>
      <c r="L12" s="15"/>
    </row>
    <row r="13" spans="1:12" s="1" customFormat="1" ht="28.2" customHeight="1" x14ac:dyDescent="0.4">
      <c r="A13" s="46" t="s">
        <v>81</v>
      </c>
      <c r="B13" s="6" t="str">
        <f>IFERROR(VLOOKUP(A13,Table1[#All],2,0),"")</f>
        <v/>
      </c>
      <c r="C13" s="6"/>
      <c r="D13" s="6"/>
      <c r="E13" s="7"/>
      <c r="F13" s="168" t="str">
        <f>IFERROR(VLOOKUP(A13,DATA!B4:D15,3,0),"")</f>
        <v/>
      </c>
      <c r="G13" s="168"/>
      <c r="H13" s="168"/>
      <c r="I13" s="168"/>
      <c r="J13" s="168"/>
      <c r="K13" s="49" t="s">
        <v>32</v>
      </c>
      <c r="L13" s="15"/>
    </row>
    <row r="14" spans="1:12" s="1" customFormat="1" ht="28.2" customHeight="1" x14ac:dyDescent="0.4">
      <c r="A14" s="46" t="s">
        <v>81</v>
      </c>
      <c r="B14" s="6" t="str">
        <f>IFERROR(VLOOKUP(A14,Table1[#All],2,0),"")</f>
        <v/>
      </c>
      <c r="C14" s="6"/>
      <c r="D14" s="6"/>
      <c r="E14" s="7"/>
      <c r="F14" s="168" t="str">
        <f>IFERROR(VLOOKUP(A14,DATA!B5:D16,3,0),"")</f>
        <v/>
      </c>
      <c r="G14" s="168"/>
      <c r="H14" s="168"/>
      <c r="I14" s="168"/>
      <c r="J14" s="168"/>
      <c r="K14" s="49" t="s">
        <v>32</v>
      </c>
      <c r="L14" s="15"/>
    </row>
    <row r="15" spans="1:12" s="1" customFormat="1" ht="28.2" customHeight="1" x14ac:dyDescent="0.4">
      <c r="A15" s="46" t="s">
        <v>81</v>
      </c>
      <c r="B15" s="6" t="str">
        <f>IFERROR(VLOOKUP(A15,Table1[#All],2,0),"")</f>
        <v/>
      </c>
      <c r="C15" s="6"/>
      <c r="D15" s="6"/>
      <c r="E15" s="7"/>
      <c r="F15" s="168" t="str">
        <f>IFERROR(VLOOKUP(A15,DATA!B6:D17,3,0),"")</f>
        <v/>
      </c>
      <c r="G15" s="168"/>
      <c r="H15" s="168"/>
      <c r="I15" s="168"/>
      <c r="J15" s="168"/>
      <c r="K15" s="49" t="s">
        <v>32</v>
      </c>
      <c r="L15" s="15"/>
    </row>
    <row r="16" spans="1:12" s="1" customFormat="1" ht="28.2" customHeight="1" x14ac:dyDescent="0.4">
      <c r="A16" s="46" t="s">
        <v>81</v>
      </c>
      <c r="B16" s="6" t="str">
        <f>IFERROR(VLOOKUP(A16,Table1[#All],2,0),"")</f>
        <v/>
      </c>
      <c r="C16" s="6"/>
      <c r="D16" s="6"/>
      <c r="E16" s="7"/>
      <c r="F16" s="168" t="str">
        <f>IFERROR(VLOOKUP(A16,DATA!B6:D18,3,0),"")</f>
        <v/>
      </c>
      <c r="G16" s="168"/>
      <c r="H16" s="168"/>
      <c r="I16" s="168"/>
      <c r="J16" s="168"/>
      <c r="K16" s="49" t="s">
        <v>32</v>
      </c>
      <c r="L16" s="15"/>
    </row>
    <row r="17" spans="1:13" s="1" customFormat="1" ht="28.2" customHeight="1" x14ac:dyDescent="0.4">
      <c r="A17" s="46" t="s">
        <v>81</v>
      </c>
      <c r="B17" s="6" t="str">
        <f>IFERROR(VLOOKUP(A17,Table1[#All],2,0),"")</f>
        <v/>
      </c>
      <c r="C17" s="6"/>
      <c r="D17" s="6"/>
      <c r="E17" s="7"/>
      <c r="F17" s="168" t="str">
        <f>IFERROR(VLOOKUP(A17,DATA!B6:D19,3,0),"")</f>
        <v/>
      </c>
      <c r="G17" s="168"/>
      <c r="H17" s="168"/>
      <c r="I17" s="168"/>
      <c r="J17" s="168"/>
      <c r="K17" s="49" t="s">
        <v>32</v>
      </c>
      <c r="L17" s="15"/>
    </row>
    <row r="18" spans="1:13" s="1" customFormat="1" ht="28.2" customHeight="1" x14ac:dyDescent="0.4">
      <c r="A18" s="46" t="s">
        <v>81</v>
      </c>
      <c r="B18" s="6" t="str">
        <f>IFERROR(VLOOKUP(A18,Table1[#All],2,0),"")</f>
        <v/>
      </c>
      <c r="C18" s="6"/>
      <c r="D18" s="6"/>
      <c r="E18" s="7"/>
      <c r="F18" s="168" t="str">
        <f>IFERROR(VLOOKUP(A18,DATA!B6:D20,3,0),"")</f>
        <v/>
      </c>
      <c r="G18" s="168"/>
      <c r="H18" s="168"/>
      <c r="I18" s="168"/>
      <c r="J18" s="168"/>
      <c r="K18" s="49" t="s">
        <v>32</v>
      </c>
      <c r="L18" s="15"/>
    </row>
    <row r="19" spans="1:13" s="1" customFormat="1" ht="28.2" customHeight="1" x14ac:dyDescent="0.4">
      <c r="A19" s="46" t="s">
        <v>81</v>
      </c>
      <c r="B19" s="6" t="str">
        <f>IFERROR(VLOOKUP(A19,Table1[#All],2,0),"")</f>
        <v/>
      </c>
      <c r="C19" s="6"/>
      <c r="D19" s="6"/>
      <c r="E19" s="7"/>
      <c r="F19" s="168" t="str">
        <f>IFERROR(VLOOKUP(A19,DATA!B6:D21,3,0),"")</f>
        <v/>
      </c>
      <c r="G19" s="168"/>
      <c r="H19" s="168"/>
      <c r="I19" s="168"/>
      <c r="J19" s="168"/>
      <c r="K19" s="49" t="s">
        <v>32</v>
      </c>
      <c r="L19" s="15"/>
    </row>
    <row r="20" spans="1:13" s="1" customFormat="1" ht="28.2" customHeight="1" x14ac:dyDescent="0.4">
      <c r="A20" s="46" t="s">
        <v>81</v>
      </c>
      <c r="B20" s="6" t="str">
        <f>IFERROR(VLOOKUP(A20,Table1[#All],2,0),"")</f>
        <v/>
      </c>
      <c r="C20" s="6"/>
      <c r="D20" s="6"/>
      <c r="E20" s="7"/>
      <c r="F20" s="168" t="str">
        <f>IFERROR(VLOOKUP(A20,DATA!B6:D20,3,0),"")</f>
        <v/>
      </c>
      <c r="G20" s="168"/>
      <c r="H20" s="168"/>
      <c r="I20" s="168"/>
      <c r="J20" s="168"/>
      <c r="K20" s="49" t="s">
        <v>32</v>
      </c>
      <c r="L20" s="15"/>
    </row>
    <row r="21" spans="1:13" ht="24" customHeight="1" x14ac:dyDescent="0.4">
      <c r="A21" s="12"/>
      <c r="B21" s="128" t="s">
        <v>35</v>
      </c>
      <c r="C21" s="127"/>
      <c r="D21" s="127"/>
      <c r="E21" s="127"/>
      <c r="F21" s="188" t="s">
        <v>67</v>
      </c>
      <c r="G21" s="188"/>
      <c r="H21" s="188"/>
      <c r="I21" s="188"/>
      <c r="J21" s="129" t="s">
        <v>27</v>
      </c>
      <c r="K21" s="22"/>
      <c r="L21" s="16"/>
      <c r="M21" s="2"/>
    </row>
    <row r="22" spans="1:13" ht="29.25" customHeight="1" x14ac:dyDescent="0.4">
      <c r="A22" s="12"/>
      <c r="B22" s="62" t="s">
        <v>55</v>
      </c>
      <c r="C22" s="22"/>
      <c r="D22" s="22"/>
      <c r="E22" s="22"/>
      <c r="F22" s="64"/>
      <c r="G22" s="62" t="s">
        <v>2</v>
      </c>
      <c r="H22" s="61"/>
      <c r="I22" s="63"/>
      <c r="J22" s="186" t="str">
        <f>NoToTxt(I22,"جنيها","قرش")&amp;" لاغير"</f>
        <v>صفر لاغير</v>
      </c>
      <c r="K22" s="186"/>
      <c r="L22" s="187"/>
      <c r="M22" s="2"/>
    </row>
    <row r="23" spans="1:13" ht="29.25" customHeight="1" x14ac:dyDescent="0.4">
      <c r="A23" s="12"/>
      <c r="B23" s="6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4" t="s">
        <v>6</v>
      </c>
      <c r="E25" s="164"/>
      <c r="F25" s="164"/>
      <c r="G25" s="164"/>
      <c r="H25" s="164"/>
      <c r="I25" s="164"/>
      <c r="J25" s="131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5" t="s">
        <v>68</v>
      </c>
      <c r="E26" s="165"/>
      <c r="F26" s="165"/>
      <c r="G26" s="165"/>
      <c r="H26" s="165"/>
      <c r="I26" s="165"/>
      <c r="J26" s="38"/>
      <c r="K26" s="39"/>
      <c r="L26" s="16"/>
      <c r="M26" s="2"/>
    </row>
    <row r="27" spans="1:13" ht="30.75" hidden="1" customHeight="1" x14ac:dyDescent="0.4">
      <c r="A27" s="12"/>
      <c r="B27" s="8"/>
      <c r="C27" s="26"/>
      <c r="D27" s="166"/>
      <c r="E27" s="167"/>
      <c r="F27" s="167"/>
      <c r="G27" s="167"/>
      <c r="H27" s="167"/>
      <c r="I27" s="167"/>
      <c r="J27" s="38"/>
      <c r="K27" s="55"/>
      <c r="L27" s="16"/>
      <c r="M27" s="2"/>
    </row>
    <row r="28" spans="1:13" ht="30.75" customHeight="1" thickBot="1" x14ac:dyDescent="0.45">
      <c r="A28" s="12"/>
      <c r="B28" s="8"/>
      <c r="C28" s="171" t="s">
        <v>9</v>
      </c>
      <c r="D28" s="172"/>
      <c r="E28" s="172"/>
      <c r="F28" s="172"/>
      <c r="G28" s="172"/>
      <c r="H28" s="172"/>
      <c r="I28" s="172"/>
      <c r="J28" s="38">
        <f>SUM(J26:J27)</f>
        <v>0</v>
      </c>
      <c r="K28" s="39">
        <f>SUM(K26:K27)</f>
        <v>0</v>
      </c>
      <c r="L28" s="16"/>
      <c r="M28" s="2"/>
    </row>
    <row r="29" spans="1:13" ht="29.25" customHeight="1" thickBot="1" x14ac:dyDescent="0.45">
      <c r="A29" s="12"/>
      <c r="B29" s="62" t="s">
        <v>10</v>
      </c>
      <c r="C29" s="22"/>
      <c r="D29" s="22"/>
      <c r="E29" s="22"/>
      <c r="F29" s="22"/>
      <c r="G29" s="22"/>
      <c r="H29" s="22"/>
      <c r="I29" s="22"/>
      <c r="J29" s="22"/>
      <c r="K29" s="22"/>
      <c r="L29" s="16"/>
      <c r="M29" s="2"/>
    </row>
    <row r="30" spans="1:13" ht="22.8" x14ac:dyDescent="0.4">
      <c r="A30" s="12"/>
      <c r="B30" s="8"/>
      <c r="C30" s="23" t="s">
        <v>3</v>
      </c>
      <c r="D30" s="164" t="s">
        <v>6</v>
      </c>
      <c r="E30" s="164"/>
      <c r="F30" s="164"/>
      <c r="G30" s="164"/>
      <c r="H30" s="164"/>
      <c r="I30" s="164"/>
      <c r="J30" s="164"/>
      <c r="K30" s="25" t="s">
        <v>20</v>
      </c>
      <c r="L30" s="17"/>
      <c r="M30" s="2"/>
    </row>
    <row r="31" spans="1:13" ht="30.75" customHeight="1" x14ac:dyDescent="0.4">
      <c r="A31" s="12"/>
      <c r="B31" s="8"/>
      <c r="C31" s="26">
        <v>1</v>
      </c>
      <c r="D31" s="173" t="s">
        <v>17</v>
      </c>
      <c r="E31" s="173"/>
      <c r="F31" s="173"/>
      <c r="G31" s="173"/>
      <c r="H31" s="173"/>
      <c r="I31" s="173"/>
      <c r="J31" s="173"/>
      <c r="K31" s="39"/>
      <c r="L31" s="16"/>
      <c r="M31" s="2"/>
    </row>
    <row r="32" spans="1:13" ht="30.75" customHeight="1" x14ac:dyDescent="0.4">
      <c r="A32" s="12"/>
      <c r="B32" s="8"/>
      <c r="C32" s="26">
        <v>2</v>
      </c>
      <c r="D32" s="31" t="s">
        <v>18</v>
      </c>
      <c r="E32" s="32"/>
      <c r="F32" s="32"/>
      <c r="G32" s="32"/>
      <c r="H32" s="32"/>
      <c r="I32" s="32"/>
      <c r="J32" s="33"/>
      <c r="K32" s="37"/>
      <c r="L32" s="16"/>
      <c r="M32" s="2"/>
    </row>
    <row r="33" spans="1:13" ht="30.75" customHeight="1" x14ac:dyDescent="0.4">
      <c r="A33" s="12"/>
      <c r="B33" s="8"/>
      <c r="C33" s="26">
        <v>3</v>
      </c>
      <c r="D33" s="189" t="s">
        <v>58</v>
      </c>
      <c r="E33" s="189"/>
      <c r="F33" s="189"/>
      <c r="G33" s="190"/>
      <c r="H33" s="189"/>
      <c r="I33" s="189"/>
      <c r="J33" s="189"/>
      <c r="K33" s="39"/>
      <c r="L33" s="16"/>
      <c r="M33" s="2"/>
    </row>
    <row r="34" spans="1:13" ht="30.75" customHeight="1" x14ac:dyDescent="0.4">
      <c r="A34" s="12"/>
      <c r="B34" s="8"/>
      <c r="C34" s="34">
        <v>4</v>
      </c>
      <c r="D34" s="175" t="s">
        <v>72</v>
      </c>
      <c r="E34" s="176"/>
      <c r="F34" s="176"/>
      <c r="G34" s="176"/>
      <c r="H34" s="176"/>
      <c r="I34" s="176"/>
      <c r="J34" s="177"/>
      <c r="K34" s="37"/>
      <c r="L34" s="16"/>
      <c r="M34" s="2"/>
    </row>
    <row r="35" spans="1:13" ht="30" customHeight="1" x14ac:dyDescent="0.4">
      <c r="A35" s="12"/>
      <c r="B35" s="8"/>
      <c r="C35" s="26">
        <v>5</v>
      </c>
      <c r="D35" s="173" t="s">
        <v>11</v>
      </c>
      <c r="E35" s="173"/>
      <c r="F35" s="173"/>
      <c r="G35" s="173"/>
      <c r="H35" s="173"/>
      <c r="I35" s="173"/>
      <c r="J35" s="173"/>
      <c r="K35" s="39"/>
      <c r="L35" s="16"/>
      <c r="M35" s="2"/>
    </row>
    <row r="36" spans="1:13" ht="30" customHeight="1" x14ac:dyDescent="0.4">
      <c r="A36" s="12"/>
      <c r="B36" s="8"/>
      <c r="C36" s="34">
        <v>6</v>
      </c>
      <c r="D36" s="175" t="s">
        <v>21</v>
      </c>
      <c r="E36" s="176"/>
      <c r="F36" s="176"/>
      <c r="G36" s="176"/>
      <c r="H36" s="176"/>
      <c r="I36" s="176"/>
      <c r="J36" s="177"/>
      <c r="K36" s="36"/>
      <c r="L36" s="16"/>
      <c r="M36" s="2"/>
    </row>
    <row r="37" spans="1:13" ht="30.75" customHeight="1" thickBot="1" x14ac:dyDescent="0.45">
      <c r="A37" s="12"/>
      <c r="B37" s="8"/>
      <c r="C37" s="171" t="s">
        <v>12</v>
      </c>
      <c r="D37" s="172"/>
      <c r="E37" s="172"/>
      <c r="F37" s="172"/>
      <c r="G37" s="172"/>
      <c r="H37" s="172"/>
      <c r="I37" s="172"/>
      <c r="J37" s="172"/>
      <c r="K37" s="40">
        <f>SUM(K31:K35)-K36</f>
        <v>0</v>
      </c>
      <c r="L37" s="16"/>
      <c r="M37" s="2"/>
    </row>
    <row r="38" spans="1:13" ht="59.25" customHeight="1" x14ac:dyDescent="0.4">
      <c r="A38" s="12"/>
      <c r="B38" s="3"/>
      <c r="C38" s="3"/>
      <c r="D38" s="3"/>
      <c r="E38" s="3"/>
      <c r="F38" s="3"/>
      <c r="G38" s="3"/>
      <c r="H38" s="3"/>
      <c r="I38" s="3"/>
      <c r="J38" s="3"/>
      <c r="K38" s="4"/>
      <c r="L38" s="18"/>
    </row>
    <row r="39" spans="1:13" ht="40.5" customHeight="1" thickBot="1" x14ac:dyDescent="0.45">
      <c r="A39" s="19"/>
      <c r="B39" s="20"/>
      <c r="C39" s="158" t="s">
        <v>30</v>
      </c>
      <c r="D39" s="158"/>
      <c r="E39" s="158"/>
      <c r="F39" s="158"/>
      <c r="G39" s="158"/>
      <c r="H39" s="158"/>
      <c r="I39" s="158"/>
      <c r="J39" s="158"/>
      <c r="K39" s="20"/>
      <c r="L39" s="21"/>
    </row>
    <row r="40" spans="1:13" ht="12" customHeight="1" x14ac:dyDescent="0.4">
      <c r="A40" s="9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9"/>
    </row>
    <row r="41" spans="1:13" ht="22.8" x14ac:dyDescent="0.4">
      <c r="A41" s="12"/>
      <c r="B41" s="8"/>
      <c r="C41" s="8"/>
      <c r="D41" s="8"/>
      <c r="E41" s="8"/>
      <c r="F41" s="8"/>
      <c r="G41" s="8"/>
      <c r="H41" s="8"/>
      <c r="I41" s="8"/>
      <c r="J41" s="8"/>
      <c r="K41" s="8"/>
      <c r="L41" s="16"/>
    </row>
    <row r="42" spans="1:13" x14ac:dyDescent="0.25">
      <c r="A42" s="12"/>
      <c r="B42" s="5"/>
      <c r="C42" s="5"/>
      <c r="D42" s="5"/>
      <c r="E42" s="5"/>
      <c r="F42" s="5"/>
      <c r="G42" s="5"/>
      <c r="H42" s="5"/>
      <c r="I42" s="5"/>
      <c r="J42" s="5"/>
      <c r="K42" s="5"/>
      <c r="L42" s="13"/>
    </row>
    <row r="43" spans="1:13" x14ac:dyDescent="0.25">
      <c r="A43" s="12"/>
      <c r="B43" s="5"/>
      <c r="C43" s="5"/>
      <c r="D43" s="5"/>
      <c r="E43" s="5"/>
      <c r="F43" s="5"/>
      <c r="G43" s="5"/>
      <c r="H43" s="5"/>
      <c r="I43" s="5"/>
      <c r="J43" s="5"/>
      <c r="K43" s="5"/>
      <c r="L43" s="13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ht="33.75" customHeight="1" x14ac:dyDescent="0.4">
      <c r="A49" s="12"/>
      <c r="B49" s="22" t="s">
        <v>22</v>
      </c>
      <c r="C49" s="22"/>
      <c r="D49" s="22"/>
      <c r="E49" s="22"/>
      <c r="F49" s="22"/>
      <c r="G49" s="22"/>
      <c r="H49" s="22"/>
      <c r="I49" s="22"/>
      <c r="J49" s="22"/>
      <c r="K49" s="22"/>
      <c r="L49" s="13"/>
    </row>
    <row r="50" spans="1:12" ht="30" customHeight="1" x14ac:dyDescent="0.4">
      <c r="A50" s="12"/>
      <c r="B50" s="97" t="s">
        <v>83</v>
      </c>
      <c r="C50" s="22"/>
      <c r="D50" s="22"/>
      <c r="E50" s="22"/>
      <c r="F50" s="22"/>
      <c r="G50" s="22"/>
      <c r="H50" s="22"/>
      <c r="I50" s="22"/>
      <c r="J50" s="22"/>
      <c r="K50" s="22"/>
      <c r="L50" s="13"/>
    </row>
    <row r="51" spans="1:12" ht="33.75" customHeight="1" x14ac:dyDescent="0.4">
      <c r="A51" s="52">
        <v>2</v>
      </c>
      <c r="B51" s="22" t="s">
        <v>33</v>
      </c>
      <c r="C51" s="35"/>
      <c r="D51" s="35"/>
      <c r="E51" s="22"/>
      <c r="F51" s="45" t="str">
        <f>IFERROR((VLOOKUP(A51,Table1[#All],2,0)),"")</f>
        <v>سامح بلامون عبدالسيد</v>
      </c>
      <c r="G51" s="22"/>
      <c r="H51" s="22"/>
      <c r="I51" s="22"/>
      <c r="J51" s="53" t="str">
        <f>IFERROR((VLOOKUP(A51,Table1[#All],3,0)),"")</f>
        <v>مدير التمويل متناهى الصغر بمحافظة قنا</v>
      </c>
      <c r="K51" s="22"/>
      <c r="L51" s="13"/>
    </row>
    <row r="52" spans="1:12" ht="33.75" customHeight="1" x14ac:dyDescent="0.4">
      <c r="A52" s="12"/>
      <c r="B52" s="22" t="s">
        <v>34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14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42.75" customHeight="1" x14ac:dyDescent="0.4">
      <c r="A54" s="12"/>
      <c r="B54" s="159" t="s">
        <v>15</v>
      </c>
      <c r="C54" s="159"/>
      <c r="D54" s="22"/>
      <c r="E54" s="22"/>
      <c r="F54" s="22"/>
      <c r="G54" s="159" t="s">
        <v>16</v>
      </c>
      <c r="H54" s="159"/>
      <c r="I54" s="159"/>
      <c r="J54" s="159"/>
      <c r="K54" s="159"/>
      <c r="L54" s="13"/>
    </row>
    <row r="55" spans="1:12" ht="28.95" customHeight="1" x14ac:dyDescent="0.4">
      <c r="A55" s="130">
        <v>1</v>
      </c>
      <c r="B55" s="22" t="str">
        <f t="shared" ref="B55:B64" si="0">"الاستاذ "&amp;B11</f>
        <v xml:space="preserve">الاستاذ </v>
      </c>
      <c r="C55" s="22"/>
      <c r="D55" s="22"/>
      <c r="E55" s="22"/>
      <c r="F55" s="22"/>
      <c r="G55" s="160" t="s">
        <v>29</v>
      </c>
      <c r="H55" s="161"/>
      <c r="I55" s="161"/>
      <c r="J55" s="161"/>
      <c r="K55" s="161"/>
      <c r="L55" s="13"/>
    </row>
    <row r="56" spans="1:12" ht="28.95" customHeight="1" x14ac:dyDescent="0.4">
      <c r="A56" s="130">
        <v>2</v>
      </c>
      <c r="B56" s="22" t="str">
        <f t="shared" si="0"/>
        <v xml:space="preserve">الاستاذ </v>
      </c>
      <c r="C56" s="22"/>
      <c r="D56" s="22"/>
      <c r="E56" s="22"/>
      <c r="F56" s="22"/>
      <c r="G56" s="160" t="s">
        <v>29</v>
      </c>
      <c r="H56" s="161"/>
      <c r="I56" s="161"/>
      <c r="J56" s="161"/>
      <c r="K56" s="161"/>
      <c r="L56" s="13"/>
    </row>
    <row r="57" spans="1:12" ht="28.95" customHeight="1" x14ac:dyDescent="0.4">
      <c r="A57" s="130">
        <v>3</v>
      </c>
      <c r="B57" s="22" t="str">
        <f t="shared" si="0"/>
        <v xml:space="preserve">الاستاذ </v>
      </c>
      <c r="C57" s="22"/>
      <c r="D57" s="22"/>
      <c r="E57" s="22"/>
      <c r="F57" s="22"/>
      <c r="G57" s="160" t="s">
        <v>29</v>
      </c>
      <c r="H57" s="161"/>
      <c r="I57" s="161"/>
      <c r="J57" s="161"/>
      <c r="K57" s="161"/>
      <c r="L57" s="13"/>
    </row>
    <row r="58" spans="1:12" ht="28.95" customHeight="1" x14ac:dyDescent="0.4">
      <c r="A58" s="130">
        <v>4</v>
      </c>
      <c r="B58" s="22" t="str">
        <f t="shared" si="0"/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95" customHeight="1" x14ac:dyDescent="0.4">
      <c r="A59" s="130">
        <v>5</v>
      </c>
      <c r="B59" s="22" t="str">
        <f t="shared" si="0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0">
        <v>6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0">
        <v>7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0">
        <v>8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0">
        <v>9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0">
        <v>10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33.25" customHeight="1" x14ac:dyDescent="0.25">
      <c r="A65" s="12"/>
      <c r="B65" s="5"/>
      <c r="C65" s="5"/>
      <c r="D65" s="5"/>
      <c r="E65" s="5"/>
      <c r="F65" s="5"/>
      <c r="G65" s="5"/>
      <c r="H65" s="5"/>
      <c r="I65" s="5"/>
      <c r="J65" s="5"/>
      <c r="K65" s="5"/>
      <c r="L65" s="13"/>
    </row>
    <row r="66" spans="1:12" ht="59.25" customHeight="1" x14ac:dyDescent="0.25">
      <c r="A66" s="12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13"/>
    </row>
    <row r="67" spans="1:12" ht="35.25" customHeight="1" thickBot="1" x14ac:dyDescent="0.45">
      <c r="A67" s="19"/>
      <c r="B67" s="20"/>
      <c r="C67" s="158" t="s">
        <v>30</v>
      </c>
      <c r="D67" s="158"/>
      <c r="E67" s="158"/>
      <c r="F67" s="158"/>
      <c r="G67" s="158"/>
      <c r="H67" s="158"/>
      <c r="I67" s="158"/>
      <c r="J67" s="158"/>
      <c r="K67" s="20"/>
      <c r="L67" s="30"/>
    </row>
  </sheetData>
  <mergeCells count="38">
    <mergeCell ref="G62:K62"/>
    <mergeCell ref="G63:K63"/>
    <mergeCell ref="G64:K64"/>
    <mergeCell ref="C67:J67"/>
    <mergeCell ref="G56:K56"/>
    <mergeCell ref="G57:K57"/>
    <mergeCell ref="G58:K58"/>
    <mergeCell ref="G59:K59"/>
    <mergeCell ref="G60:K60"/>
    <mergeCell ref="G61:K61"/>
    <mergeCell ref="G55:K55"/>
    <mergeCell ref="C28:I28"/>
    <mergeCell ref="D30:J30"/>
    <mergeCell ref="D31:J31"/>
    <mergeCell ref="D33:J33"/>
    <mergeCell ref="D34:J34"/>
    <mergeCell ref="D35:J35"/>
    <mergeCell ref="D36:J36"/>
    <mergeCell ref="C37:J37"/>
    <mergeCell ref="C39:J39"/>
    <mergeCell ref="B54:C54"/>
    <mergeCell ref="G54:K54"/>
    <mergeCell ref="J22:L22"/>
    <mergeCell ref="D25:I25"/>
    <mergeCell ref="D26:I26"/>
    <mergeCell ref="D27:I27"/>
    <mergeCell ref="F16:J16"/>
    <mergeCell ref="F17:J17"/>
    <mergeCell ref="F18:J18"/>
    <mergeCell ref="F19:J19"/>
    <mergeCell ref="F20:J20"/>
    <mergeCell ref="F21:I21"/>
    <mergeCell ref="F15:J15"/>
    <mergeCell ref="B8:J8"/>
    <mergeCell ref="F11:J11"/>
    <mergeCell ref="F12:J12"/>
    <mergeCell ref="F13:J13"/>
    <mergeCell ref="F14:J14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39" max="11" man="1"/>
  </rowBreaks>
  <ignoredErrors>
    <ignoredError sqref="F19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-0.499984740745262"/>
  </sheetPr>
  <dimension ref="A1:M71"/>
  <sheetViews>
    <sheetView rightToLeft="1" view="pageBreakPreview" topLeftCell="A4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2" t="s">
        <v>24</v>
      </c>
      <c r="C8" s="163"/>
      <c r="D8" s="163"/>
      <c r="E8" s="163"/>
      <c r="F8" s="163"/>
      <c r="G8" s="163"/>
      <c r="H8" s="163"/>
      <c r="I8" s="163"/>
      <c r="J8" s="163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3" t="s">
        <v>0</v>
      </c>
      <c r="C10" s="59">
        <f>E10</f>
        <v>0</v>
      </c>
      <c r="D10" s="43" t="s">
        <v>1</v>
      </c>
      <c r="E10" s="66"/>
      <c r="F10" s="43" t="s">
        <v>25</v>
      </c>
      <c r="G10" s="43"/>
      <c r="H10" s="43"/>
      <c r="I10" s="43"/>
      <c r="J10" s="43"/>
      <c r="K10" s="44"/>
      <c r="L10" s="42"/>
    </row>
    <row r="11" spans="1:12" s="1" customFormat="1" ht="28.2" customHeight="1" x14ac:dyDescent="0.4">
      <c r="A11" s="67" t="s">
        <v>81</v>
      </c>
      <c r="B11" s="6" t="str">
        <f>IFERROR(VLOOKUP(A11,Table1[#All],2,0),"")</f>
        <v/>
      </c>
      <c r="C11" s="6"/>
      <c r="D11" s="6"/>
      <c r="E11" s="7"/>
      <c r="F11" s="168" t="str">
        <f t="shared" ref="F11:F20" si="0">IFERROR(VLOOKUP(A11,الاعضاء,3,0),"")</f>
        <v/>
      </c>
      <c r="G11" s="168"/>
      <c r="H11" s="168"/>
      <c r="I11" s="168"/>
      <c r="J11" s="168"/>
      <c r="K11" s="49" t="s">
        <v>32</v>
      </c>
      <c r="L11" s="15"/>
    </row>
    <row r="12" spans="1:12" s="1" customFormat="1" ht="28.2" customHeight="1" x14ac:dyDescent="0.4">
      <c r="A12" s="67" t="s">
        <v>81</v>
      </c>
      <c r="B12" s="6" t="str">
        <f>IFERROR(VLOOKUP(A12,Table1[#All],2,0),"")</f>
        <v/>
      </c>
      <c r="C12" s="6"/>
      <c r="D12" s="6"/>
      <c r="E12" s="7"/>
      <c r="F12" s="168" t="str">
        <f t="shared" si="0"/>
        <v/>
      </c>
      <c r="G12" s="168"/>
      <c r="H12" s="168"/>
      <c r="I12" s="168"/>
      <c r="J12" s="168"/>
      <c r="K12" s="49" t="s">
        <v>32</v>
      </c>
      <c r="L12" s="15"/>
    </row>
    <row r="13" spans="1:12" s="1" customFormat="1" ht="28.2" customHeight="1" x14ac:dyDescent="0.4">
      <c r="A13" s="67" t="s">
        <v>81</v>
      </c>
      <c r="B13" s="6" t="str">
        <f>IFERROR(VLOOKUP(A13,Table1[#All],2,0),"")</f>
        <v/>
      </c>
      <c r="C13" s="6"/>
      <c r="D13" s="6"/>
      <c r="E13" s="7"/>
      <c r="F13" s="168" t="str">
        <f t="shared" si="0"/>
        <v/>
      </c>
      <c r="G13" s="168"/>
      <c r="H13" s="168"/>
      <c r="I13" s="168"/>
      <c r="J13" s="168"/>
      <c r="K13" s="49" t="s">
        <v>32</v>
      </c>
      <c r="L13" s="15"/>
    </row>
    <row r="14" spans="1:12" s="1" customFormat="1" ht="28.2" customHeight="1" x14ac:dyDescent="0.4">
      <c r="A14" s="67" t="s">
        <v>81</v>
      </c>
      <c r="B14" s="6" t="str">
        <f>IFERROR(VLOOKUP(A14,Table1[#All],2,0),"")</f>
        <v/>
      </c>
      <c r="C14" s="6"/>
      <c r="D14" s="6"/>
      <c r="E14" s="7"/>
      <c r="F14" s="168" t="str">
        <f t="shared" si="0"/>
        <v/>
      </c>
      <c r="G14" s="168"/>
      <c r="H14" s="168"/>
      <c r="I14" s="168"/>
      <c r="J14" s="168"/>
      <c r="K14" s="49" t="s">
        <v>32</v>
      </c>
      <c r="L14" s="15"/>
    </row>
    <row r="15" spans="1:12" s="1" customFormat="1" ht="28.2" customHeight="1" x14ac:dyDescent="0.4">
      <c r="A15" s="67" t="s">
        <v>81</v>
      </c>
      <c r="B15" s="6" t="str">
        <f>IFERROR(VLOOKUP(A15,Table1[#All],2,0),"")</f>
        <v/>
      </c>
      <c r="C15" s="6"/>
      <c r="D15" s="6"/>
      <c r="E15" s="7"/>
      <c r="F15" s="168" t="str">
        <f t="shared" si="0"/>
        <v/>
      </c>
      <c r="G15" s="168"/>
      <c r="H15" s="168"/>
      <c r="I15" s="168"/>
      <c r="J15" s="168"/>
      <c r="K15" s="49" t="s">
        <v>32</v>
      </c>
      <c r="L15" s="15"/>
    </row>
    <row r="16" spans="1:12" s="1" customFormat="1" ht="28.2" customHeight="1" x14ac:dyDescent="0.4">
      <c r="A16" s="67" t="s">
        <v>81</v>
      </c>
      <c r="B16" s="6" t="str">
        <f>IFERROR(VLOOKUP(A16,Table1[#All],2,0),"")</f>
        <v/>
      </c>
      <c r="C16" s="6"/>
      <c r="D16" s="6"/>
      <c r="E16" s="7"/>
      <c r="F16" s="168" t="str">
        <f t="shared" si="0"/>
        <v/>
      </c>
      <c r="G16" s="168"/>
      <c r="H16" s="168"/>
      <c r="I16" s="168"/>
      <c r="J16" s="168"/>
      <c r="K16" s="49" t="s">
        <v>32</v>
      </c>
      <c r="L16" s="15"/>
    </row>
    <row r="17" spans="1:13" s="1" customFormat="1" ht="28.2" customHeight="1" x14ac:dyDescent="0.4">
      <c r="A17" s="67" t="s">
        <v>81</v>
      </c>
      <c r="B17" s="6" t="str">
        <f>IFERROR(VLOOKUP(A17,Table1[#All],2,0),"")</f>
        <v/>
      </c>
      <c r="C17" s="6"/>
      <c r="D17" s="6"/>
      <c r="E17" s="7"/>
      <c r="F17" s="168" t="str">
        <f t="shared" si="0"/>
        <v/>
      </c>
      <c r="G17" s="168"/>
      <c r="H17" s="168"/>
      <c r="I17" s="168"/>
      <c r="J17" s="168"/>
      <c r="K17" s="49" t="s">
        <v>32</v>
      </c>
      <c r="L17" s="15"/>
    </row>
    <row r="18" spans="1:13" s="1" customFormat="1" ht="28.2" customHeight="1" x14ac:dyDescent="0.4">
      <c r="A18" s="67" t="s">
        <v>81</v>
      </c>
      <c r="B18" s="6" t="str">
        <f>IFERROR(VLOOKUP(A18,Table1[#All],2,0),"")</f>
        <v/>
      </c>
      <c r="C18" s="6"/>
      <c r="D18" s="6"/>
      <c r="E18" s="7"/>
      <c r="F18" s="168" t="str">
        <f t="shared" si="0"/>
        <v/>
      </c>
      <c r="G18" s="168"/>
      <c r="H18" s="168"/>
      <c r="I18" s="168"/>
      <c r="J18" s="168"/>
      <c r="K18" s="49" t="s">
        <v>32</v>
      </c>
      <c r="L18" s="15"/>
    </row>
    <row r="19" spans="1:13" s="1" customFormat="1" ht="28.2" customHeight="1" x14ac:dyDescent="0.4">
      <c r="A19" s="67" t="s">
        <v>81</v>
      </c>
      <c r="B19" s="6" t="str">
        <f>IFERROR(VLOOKUP(A19,Table1[#All],2,0),"")</f>
        <v/>
      </c>
      <c r="C19" s="6"/>
      <c r="D19" s="6"/>
      <c r="E19" s="7"/>
      <c r="F19" s="168" t="str">
        <f t="shared" si="0"/>
        <v/>
      </c>
      <c r="G19" s="168"/>
      <c r="H19" s="168"/>
      <c r="I19" s="168"/>
      <c r="J19" s="168"/>
      <c r="K19" s="49" t="s">
        <v>32</v>
      </c>
      <c r="L19" s="15"/>
    </row>
    <row r="20" spans="1:13" s="1" customFormat="1" ht="28.2" customHeight="1" x14ac:dyDescent="0.4">
      <c r="A20" s="67" t="s">
        <v>81</v>
      </c>
      <c r="B20" s="6" t="str">
        <f>IFERROR(VLOOKUP(A20,Table1[#All],2,0),"")</f>
        <v/>
      </c>
      <c r="C20" s="6"/>
      <c r="D20" s="6"/>
      <c r="E20" s="7"/>
      <c r="F20" s="168" t="str">
        <f t="shared" si="0"/>
        <v/>
      </c>
      <c r="G20" s="168"/>
      <c r="H20" s="168"/>
      <c r="I20" s="168"/>
      <c r="J20" s="168"/>
      <c r="K20" s="49" t="s">
        <v>32</v>
      </c>
      <c r="L20" s="15"/>
    </row>
    <row r="21" spans="1:13" ht="24" customHeight="1" x14ac:dyDescent="0.4">
      <c r="A21" s="12"/>
      <c r="B21" s="159" t="s">
        <v>35</v>
      </c>
      <c r="C21" s="159"/>
      <c r="D21" s="159"/>
      <c r="E21" s="159"/>
      <c r="F21" s="159"/>
      <c r="G21" s="159"/>
      <c r="H21" s="159"/>
      <c r="I21" s="134" t="s">
        <v>69</v>
      </c>
      <c r="J21" s="45" t="s">
        <v>27</v>
      </c>
      <c r="K21" s="22"/>
      <c r="L21" s="16"/>
      <c r="M21" s="2"/>
    </row>
    <row r="22" spans="1:13" ht="29.25" customHeight="1" x14ac:dyDescent="0.4">
      <c r="A22" s="12"/>
      <c r="B22" s="45" t="s">
        <v>55</v>
      </c>
      <c r="C22" s="22"/>
      <c r="D22" s="22"/>
      <c r="E22" s="22"/>
      <c r="F22" s="70"/>
      <c r="G22" s="62" t="s">
        <v>2</v>
      </c>
      <c r="H22" s="61"/>
      <c r="I22" s="70"/>
      <c r="J22" s="169" t="str">
        <f>NoToTxt(I22,"جنيها","قرش")&amp;" لاغير"</f>
        <v>صفر لاغير</v>
      </c>
      <c r="K22" s="169"/>
      <c r="L22" s="170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4" t="s">
        <v>6</v>
      </c>
      <c r="E25" s="164"/>
      <c r="F25" s="164"/>
      <c r="G25" s="164"/>
      <c r="H25" s="164"/>
      <c r="I25" s="164"/>
      <c r="J25" s="133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5" t="s">
        <v>70</v>
      </c>
      <c r="E26" s="165"/>
      <c r="F26" s="165"/>
      <c r="G26" s="165"/>
      <c r="H26" s="165"/>
      <c r="I26" s="165"/>
      <c r="J26" s="73"/>
      <c r="K26" s="75"/>
      <c r="L26" s="16"/>
      <c r="M26" s="2"/>
    </row>
    <row r="27" spans="1:13" ht="28.95" customHeight="1" x14ac:dyDescent="0.4">
      <c r="A27" s="12"/>
      <c r="B27" s="8"/>
      <c r="C27" s="26">
        <v>1</v>
      </c>
      <c r="D27" s="165" t="s">
        <v>71</v>
      </c>
      <c r="E27" s="165"/>
      <c r="F27" s="165"/>
      <c r="G27" s="165"/>
      <c r="H27" s="165"/>
      <c r="I27" s="165"/>
      <c r="J27" s="73"/>
      <c r="K27" s="75"/>
      <c r="L27" s="16"/>
      <c r="M27" s="2"/>
    </row>
    <row r="28" spans="1:13" ht="28.95" customHeight="1" x14ac:dyDescent="0.4">
      <c r="A28" s="12"/>
      <c r="B28" s="8"/>
      <c r="C28" s="26">
        <v>1</v>
      </c>
      <c r="D28" s="178" t="s">
        <v>73</v>
      </c>
      <c r="E28" s="179"/>
      <c r="F28" s="179"/>
      <c r="G28" s="179"/>
      <c r="H28" s="179"/>
      <c r="I28" s="180"/>
      <c r="J28" s="73"/>
      <c r="K28" s="75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66" t="s">
        <v>7</v>
      </c>
      <c r="E29" s="167"/>
      <c r="F29" s="167"/>
      <c r="G29" s="167"/>
      <c r="H29" s="167"/>
      <c r="I29" s="167"/>
      <c r="J29" s="73" t="s">
        <v>23</v>
      </c>
      <c r="K29" s="74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66" t="s">
        <v>8</v>
      </c>
      <c r="E30" s="167"/>
      <c r="F30" s="167"/>
      <c r="G30" s="167"/>
      <c r="H30" s="167"/>
      <c r="I30" s="167"/>
      <c r="J30" s="73" t="s">
        <v>23</v>
      </c>
      <c r="K30" s="74" t="s">
        <v>23</v>
      </c>
      <c r="L30" s="16"/>
      <c r="M30" s="2"/>
    </row>
    <row r="31" spans="1:13" ht="30.75" customHeight="1" thickBot="1" x14ac:dyDescent="0.45">
      <c r="A31" s="12"/>
      <c r="B31" s="8"/>
      <c r="C31" s="171" t="s">
        <v>9</v>
      </c>
      <c r="D31" s="172"/>
      <c r="E31" s="172"/>
      <c r="F31" s="172"/>
      <c r="G31" s="172"/>
      <c r="H31" s="172"/>
      <c r="I31" s="172"/>
      <c r="J31" s="73">
        <f>J26+J27+J28</f>
        <v>0</v>
      </c>
      <c r="K31" s="75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4" t="s">
        <v>6</v>
      </c>
      <c r="E33" s="164"/>
      <c r="F33" s="164"/>
      <c r="G33" s="164"/>
      <c r="H33" s="164"/>
      <c r="I33" s="164"/>
      <c r="J33" s="164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73" t="s">
        <v>17</v>
      </c>
      <c r="E34" s="173"/>
      <c r="F34" s="173"/>
      <c r="G34" s="173"/>
      <c r="H34" s="173"/>
      <c r="I34" s="173"/>
      <c r="J34" s="173"/>
      <c r="K34" s="75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6"/>
      <c r="L35" s="16"/>
      <c r="M35" s="2"/>
    </row>
    <row r="36" spans="1:13" ht="30.75" customHeight="1" x14ac:dyDescent="0.4">
      <c r="A36" s="12"/>
      <c r="B36" s="8"/>
      <c r="C36" s="26">
        <v>3</v>
      </c>
      <c r="D36" s="173" t="s">
        <v>19</v>
      </c>
      <c r="E36" s="173"/>
      <c r="F36" s="173"/>
      <c r="G36" s="174"/>
      <c r="H36" s="173"/>
      <c r="I36" s="173"/>
      <c r="J36" s="173"/>
      <c r="K36" s="75"/>
      <c r="L36" s="16"/>
      <c r="M36" s="2"/>
    </row>
    <row r="37" spans="1:13" ht="30.75" customHeight="1" x14ac:dyDescent="0.4">
      <c r="A37" s="12"/>
      <c r="B37" s="8"/>
      <c r="C37" s="34">
        <v>4</v>
      </c>
      <c r="D37" s="175" t="s">
        <v>72</v>
      </c>
      <c r="E37" s="176"/>
      <c r="F37" s="176"/>
      <c r="G37" s="176"/>
      <c r="H37" s="176"/>
      <c r="I37" s="176"/>
      <c r="J37" s="177"/>
      <c r="K37" s="76"/>
      <c r="L37" s="16"/>
      <c r="M37" s="2"/>
    </row>
    <row r="38" spans="1:13" ht="30" customHeight="1" x14ac:dyDescent="0.4">
      <c r="A38" s="12"/>
      <c r="B38" s="8"/>
      <c r="C38" s="26">
        <v>5</v>
      </c>
      <c r="D38" s="173" t="s">
        <v>11</v>
      </c>
      <c r="E38" s="173"/>
      <c r="F38" s="173"/>
      <c r="G38" s="173"/>
      <c r="H38" s="173"/>
      <c r="I38" s="173"/>
      <c r="J38" s="173"/>
      <c r="K38" s="75"/>
      <c r="L38" s="16"/>
      <c r="M38" s="2"/>
    </row>
    <row r="39" spans="1:13" ht="30" customHeight="1" x14ac:dyDescent="0.4">
      <c r="A39" s="12"/>
      <c r="B39" s="8"/>
      <c r="C39" s="34">
        <v>6</v>
      </c>
      <c r="D39" s="175" t="s">
        <v>21</v>
      </c>
      <c r="E39" s="176"/>
      <c r="F39" s="176"/>
      <c r="G39" s="176"/>
      <c r="H39" s="176"/>
      <c r="I39" s="176"/>
      <c r="J39" s="177"/>
      <c r="K39" s="77"/>
      <c r="L39" s="16"/>
      <c r="M39" s="2"/>
    </row>
    <row r="40" spans="1:13" ht="30.75" customHeight="1" thickBot="1" x14ac:dyDescent="0.45">
      <c r="A40" s="12"/>
      <c r="B40" s="8"/>
      <c r="C40" s="171" t="s">
        <v>12</v>
      </c>
      <c r="D40" s="172"/>
      <c r="E40" s="172"/>
      <c r="F40" s="172"/>
      <c r="G40" s="172"/>
      <c r="H40" s="172"/>
      <c r="I40" s="172"/>
      <c r="J40" s="172"/>
      <c r="K40" s="114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58" t="s">
        <v>30</v>
      </c>
      <c r="D42" s="158"/>
      <c r="E42" s="158"/>
      <c r="F42" s="158"/>
      <c r="G42" s="158"/>
      <c r="H42" s="158"/>
      <c r="I42" s="158"/>
      <c r="J42" s="158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97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3.75" customHeight="1" x14ac:dyDescent="0.4">
      <c r="A54" s="52">
        <v>2</v>
      </c>
      <c r="B54" s="22" t="s">
        <v>33</v>
      </c>
      <c r="C54" s="35"/>
      <c r="D54" s="35"/>
      <c r="E54" s="22"/>
      <c r="F54" s="45" t="str">
        <f>IFERROR((VLOOKUP(A54,Table1[#All],2,0)),"")</f>
        <v>سامح بلامون عبدالسيد</v>
      </c>
      <c r="G54" s="22"/>
      <c r="H54" s="22"/>
      <c r="I54" s="22"/>
      <c r="J54" s="53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28.95" customHeight="1" x14ac:dyDescent="0.4">
      <c r="A57" s="12"/>
      <c r="B57" s="159" t="s">
        <v>15</v>
      </c>
      <c r="C57" s="159"/>
      <c r="D57" s="22"/>
      <c r="E57" s="22"/>
      <c r="F57" s="22"/>
      <c r="G57" s="159" t="s">
        <v>16</v>
      </c>
      <c r="H57" s="159"/>
      <c r="I57" s="159"/>
      <c r="J57" s="159"/>
      <c r="K57" s="159"/>
      <c r="L57" s="13"/>
    </row>
    <row r="58" spans="1:12" ht="28.95" customHeight="1" x14ac:dyDescent="0.4">
      <c r="A58" s="130">
        <v>1</v>
      </c>
      <c r="B58" s="22" t="str">
        <f t="shared" ref="B58:B67" si="1">"الاستاذ "&amp;B11</f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95" customHeight="1" x14ac:dyDescent="0.4">
      <c r="A59" s="130">
        <v>2</v>
      </c>
      <c r="B59" s="22" t="str">
        <f t="shared" si="1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0">
        <v>3</v>
      </c>
      <c r="B60" s="22" t="str">
        <f t="shared" si="1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0">
        <v>4</v>
      </c>
      <c r="B61" s="22" t="str">
        <f t="shared" si="1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0">
        <v>5</v>
      </c>
      <c r="B62" s="22" t="str">
        <f t="shared" si="1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0">
        <v>6</v>
      </c>
      <c r="B63" s="22" t="str">
        <f t="shared" si="1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0">
        <v>7</v>
      </c>
      <c r="B64" s="22" t="str">
        <f t="shared" si="1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customHeight="1" x14ac:dyDescent="0.4">
      <c r="A65" s="130">
        <v>8</v>
      </c>
      <c r="B65" s="22" t="str">
        <f t="shared" si="1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5" customHeight="1" x14ac:dyDescent="0.4">
      <c r="A66" s="130">
        <v>9</v>
      </c>
      <c r="B66" s="22" t="str">
        <f t="shared" si="1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31.95" customHeight="1" x14ac:dyDescent="0.4">
      <c r="A67" s="130">
        <v>10</v>
      </c>
      <c r="B67" s="22" t="str">
        <f t="shared" si="1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233.25" customHeight="1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59.25" customHeight="1" x14ac:dyDescent="0.25">
      <c r="A70" s="12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13"/>
    </row>
    <row r="71" spans="1:12" ht="35.25" customHeight="1" thickBot="1" x14ac:dyDescent="0.45">
      <c r="A71" s="19"/>
      <c r="B71" s="20"/>
      <c r="C71" s="158" t="s">
        <v>30</v>
      </c>
      <c r="D71" s="158"/>
      <c r="E71" s="158"/>
      <c r="F71" s="158"/>
      <c r="G71" s="158"/>
      <c r="H71" s="158"/>
      <c r="I71" s="158"/>
      <c r="J71" s="158"/>
      <c r="K71" s="20"/>
      <c r="L71" s="30"/>
    </row>
  </sheetData>
  <sheetProtection selectLockedCells="1"/>
  <mergeCells count="41">
    <mergeCell ref="B21:H21"/>
    <mergeCell ref="B8:J8"/>
    <mergeCell ref="F11:J11"/>
    <mergeCell ref="F12:J12"/>
    <mergeCell ref="F13:J13"/>
    <mergeCell ref="F14:J14"/>
    <mergeCell ref="F15:J15"/>
    <mergeCell ref="F16:J16"/>
    <mergeCell ref="F17:J17"/>
    <mergeCell ref="F18:J18"/>
    <mergeCell ref="F19:J19"/>
    <mergeCell ref="F20:J20"/>
    <mergeCell ref="D37:J37"/>
    <mergeCell ref="J22:L22"/>
    <mergeCell ref="D25:I25"/>
    <mergeCell ref="D26:I26"/>
    <mergeCell ref="D27:I27"/>
    <mergeCell ref="D28:I28"/>
    <mergeCell ref="D29:I29"/>
    <mergeCell ref="D30:I30"/>
    <mergeCell ref="C31:I31"/>
    <mergeCell ref="D33:J33"/>
    <mergeCell ref="D34:J34"/>
    <mergeCell ref="D36:J36"/>
    <mergeCell ref="G63:K63"/>
    <mergeCell ref="D38:J38"/>
    <mergeCell ref="D39:J39"/>
    <mergeCell ref="C40:J40"/>
    <mergeCell ref="C42:J42"/>
    <mergeCell ref="B57:C57"/>
    <mergeCell ref="G57:K57"/>
    <mergeCell ref="G58:K58"/>
    <mergeCell ref="G59:K59"/>
    <mergeCell ref="G60:K60"/>
    <mergeCell ref="G61:K61"/>
    <mergeCell ref="G62:K62"/>
    <mergeCell ref="G64:K64"/>
    <mergeCell ref="G65:K65"/>
    <mergeCell ref="G66:K66"/>
    <mergeCell ref="G67:K67"/>
    <mergeCell ref="C71:J71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14"/>
  <sheetViews>
    <sheetView rightToLeft="1" workbookViewId="0">
      <selection activeCell="L15" sqref="L15"/>
    </sheetView>
  </sheetViews>
  <sheetFormatPr defaultRowHeight="13.2" x14ac:dyDescent="0.25"/>
  <cols>
    <col min="1" max="1" width="4.109375" customWidth="1"/>
    <col min="2" max="2" width="6.33203125" bestFit="1" customWidth="1"/>
    <col min="3" max="3" width="17.6640625" bestFit="1" customWidth="1"/>
    <col min="4" max="4" width="47.5546875" bestFit="1" customWidth="1"/>
  </cols>
  <sheetData>
    <row r="2" spans="2:4" x14ac:dyDescent="0.25">
      <c r="B2" s="47" t="s">
        <v>31</v>
      </c>
      <c r="C2" s="48" t="s">
        <v>15</v>
      </c>
      <c r="D2" s="48" t="s">
        <v>28</v>
      </c>
    </row>
    <row r="3" spans="2:4" ht="13.8" x14ac:dyDescent="0.25">
      <c r="B3" s="136">
        <v>0</v>
      </c>
      <c r="C3" s="60" t="s">
        <v>79</v>
      </c>
      <c r="D3" s="48" t="s">
        <v>80</v>
      </c>
    </row>
    <row r="4" spans="2:4" ht="13.8" x14ac:dyDescent="0.25">
      <c r="B4" s="50">
        <v>1</v>
      </c>
      <c r="C4" s="60" t="s">
        <v>52</v>
      </c>
      <c r="D4" s="51" t="s">
        <v>66</v>
      </c>
    </row>
    <row r="5" spans="2:4" ht="13.8" x14ac:dyDescent="0.25">
      <c r="B5" s="50">
        <v>2</v>
      </c>
      <c r="C5" s="60" t="s">
        <v>48</v>
      </c>
      <c r="D5" s="51" t="s">
        <v>37</v>
      </c>
    </row>
    <row r="6" spans="2:4" ht="13.8" x14ac:dyDescent="0.25">
      <c r="B6" s="50">
        <v>3</v>
      </c>
      <c r="C6" s="60" t="s">
        <v>51</v>
      </c>
      <c r="D6" s="51" t="s">
        <v>40</v>
      </c>
    </row>
    <row r="7" spans="2:4" ht="13.8" x14ac:dyDescent="0.25">
      <c r="B7" s="50">
        <v>4</v>
      </c>
      <c r="C7" s="60" t="s">
        <v>54</v>
      </c>
      <c r="D7" s="57" t="s">
        <v>76</v>
      </c>
    </row>
    <row r="8" spans="2:4" ht="13.8" x14ac:dyDescent="0.25">
      <c r="B8" s="50">
        <v>5</v>
      </c>
      <c r="C8" s="60" t="s">
        <v>50</v>
      </c>
      <c r="D8" s="51" t="s">
        <v>39</v>
      </c>
    </row>
    <row r="9" spans="2:4" ht="13.8" x14ac:dyDescent="0.25">
      <c r="B9" s="50">
        <v>6</v>
      </c>
      <c r="C9" s="60" t="s">
        <v>53</v>
      </c>
      <c r="D9" s="51" t="s">
        <v>39</v>
      </c>
    </row>
    <row r="10" spans="2:4" ht="13.8" x14ac:dyDescent="0.25">
      <c r="B10" s="50">
        <v>7</v>
      </c>
      <c r="C10" s="60" t="s">
        <v>49</v>
      </c>
      <c r="D10" s="51" t="s">
        <v>38</v>
      </c>
    </row>
    <row r="11" spans="2:4" ht="13.8" x14ac:dyDescent="0.25">
      <c r="B11" s="50">
        <v>20</v>
      </c>
      <c r="C11" s="60" t="s">
        <v>75</v>
      </c>
      <c r="D11" s="51" t="s">
        <v>90</v>
      </c>
    </row>
    <row r="12" spans="2:4" ht="13.8" x14ac:dyDescent="0.25">
      <c r="B12" s="50">
        <v>30</v>
      </c>
      <c r="C12" s="60" t="s">
        <v>78</v>
      </c>
      <c r="D12" s="51" t="s">
        <v>91</v>
      </c>
    </row>
    <row r="13" spans="2:4" ht="13.8" x14ac:dyDescent="0.25">
      <c r="B13" s="50">
        <v>40</v>
      </c>
      <c r="C13" s="60" t="s">
        <v>77</v>
      </c>
      <c r="D13" s="51" t="s">
        <v>92</v>
      </c>
    </row>
    <row r="14" spans="2:4" x14ac:dyDescent="0.25">
      <c r="B14" s="56"/>
      <c r="C14" s="57"/>
      <c r="D14" s="57"/>
    </row>
  </sheetData>
  <phoneticPr fontId="2" type="noConversion"/>
  <pageMargins left="0" right="0" top="0" bottom="0" header="0" footer="0"/>
  <pageSetup paperSize="9" scale="70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ايدى فى ايدك</vt:lpstr>
      <vt:lpstr>البنك الاهلى</vt:lpstr>
      <vt:lpstr>بنك مصر</vt:lpstr>
      <vt:lpstr>الاسباني</vt:lpstr>
      <vt:lpstr>ترويج البدائل الاقتصادية</vt:lpstr>
      <vt:lpstr>تعزيز القدرات المؤسسية</vt:lpstr>
      <vt:lpstr>بنك الاسكندرية</vt:lpstr>
      <vt:lpstr>DATA</vt:lpstr>
      <vt:lpstr>الاسباني!Print_Area</vt:lpstr>
      <vt:lpstr>'البنك الاهلى'!Print_Area</vt:lpstr>
      <vt:lpstr>'ايدى فى ايدك'!Print_Area</vt:lpstr>
      <vt:lpstr>'بنك الاسكندرية'!Print_Area</vt:lpstr>
      <vt:lpstr>'بنك مصر'!Print_Area</vt:lpstr>
      <vt:lpstr>'ترويج البدائل الاقتصادية'!Print_Area</vt:lpstr>
      <vt:lpstr>'تعزيز القدرات المؤسسية'!Print_Area</vt:lpstr>
      <vt:lpstr>الاعضاء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Temp</cp:keywords>
  <cp:lastModifiedBy>Peter</cp:lastModifiedBy>
  <cp:lastPrinted>2024-08-05T07:19:12Z</cp:lastPrinted>
  <dcterms:created xsi:type="dcterms:W3CDTF">1996-10-14T23:33:28Z</dcterms:created>
  <dcterms:modified xsi:type="dcterms:W3CDTF">2026-07-20T09:46:12Z</dcterms:modified>
</cp:coreProperties>
</file>