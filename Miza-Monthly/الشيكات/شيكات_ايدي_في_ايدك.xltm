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##COMMITTEE FORMES\الشيكات\"/>
    </mc:Choice>
  </mc:AlternateContent>
  <bookViews>
    <workbookView xWindow="7632" yWindow="48" windowWidth="7668" windowHeight="8508" tabRatio="882" firstSheet="1" activeTab="1"/>
  </bookViews>
  <sheets>
    <sheet name="data" sheetId="2" state="hidden" r:id="rId1"/>
    <sheet name="حافظة شيكات محررة" sheetId="3" r:id="rId2"/>
    <sheet name="حافظة شيكات ملغاة" sheetId="5" r:id="rId3"/>
  </sheets>
  <functionGroups builtInGroupCount="18"/>
  <externalReferences>
    <externalReference r:id="rId4"/>
  </externalReferences>
  <definedNames>
    <definedName name="amc" localSheetId="2">#REF!</definedName>
    <definedName name="amc">#REF!</definedName>
    <definedName name="ayman">'[1]الكشف الأجمالي'!$A$1:$AK$19</definedName>
    <definedName name="data">data!$A$2:$B$10000</definedName>
    <definedName name="mam" localSheetId="2">#REF!</definedName>
    <definedName name="mam">#REF!</definedName>
    <definedName name="_xlnm.Print_Area" localSheetId="1">'حافظة شيكات محررة'!$A$1:$G$425</definedName>
    <definedName name="_xlnm.Print_Area" localSheetId="2">'حافظة شيكات ملغاة'!$A$1:$G$387</definedName>
    <definedName name="_xlnm.Print_Titles" localSheetId="1">'حافظة شيكات محررة'!$1:$3</definedName>
    <definedName name="_xlnm.Print_Titles" localSheetId="2">'حافظة شيكات ملغاة'!$1:$3</definedName>
    <definedName name="Z_2718395A_D8DA_4CE3_9EA2_8C6FE44D2D54_.wvu.PrintArea" localSheetId="1" hidden="1">'حافظة شيكات محررة'!$A$1:$G$425</definedName>
    <definedName name="Z_2718395A_D8DA_4CE3_9EA2_8C6FE44D2D54_.wvu.PrintArea" localSheetId="2" hidden="1">'حافظة شيكات ملغاة'!$A$1:$G$387</definedName>
    <definedName name="Z_2718395A_D8DA_4CE3_9EA2_8C6FE44D2D54_.wvu.PrintTitles" localSheetId="1" hidden="1">'حافظة شيكات محررة'!$1:$3</definedName>
    <definedName name="Z_2718395A_D8DA_4CE3_9EA2_8C6FE44D2D54_.wvu.PrintTitles" localSheetId="2" hidden="1">'حافظة شيكات ملغاة'!$1:$3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F1" i="5" l="1"/>
  <c r="A3" i="5"/>
  <c r="F5" i="5" l="1"/>
  <c r="A384" i="5" l="1"/>
  <c r="A336" i="5"/>
  <c r="A288" i="5"/>
  <c r="A240" i="5"/>
  <c r="A192" i="5"/>
  <c r="A144" i="5"/>
  <c r="H96" i="5"/>
  <c r="A53" i="5"/>
  <c r="A101" i="5" s="1"/>
  <c r="A149" i="5" s="1"/>
  <c r="A197" i="5" s="1"/>
  <c r="A245" i="5" s="1"/>
  <c r="A293" i="5" s="1"/>
  <c r="A341" i="5" s="1"/>
  <c r="A52" i="5"/>
  <c r="A100" i="5" s="1"/>
  <c r="A148" i="5" s="1"/>
  <c r="A196" i="5" s="1"/>
  <c r="A244" i="5" s="1"/>
  <c r="A292" i="5" s="1"/>
  <c r="A340" i="5" s="1"/>
  <c r="H48" i="5"/>
  <c r="A96" i="5" s="1"/>
  <c r="E48" i="5"/>
  <c r="E55" i="5" s="1"/>
  <c r="E96" i="5" s="1"/>
  <c r="E103" i="5" s="1"/>
  <c r="E144" i="5" s="1"/>
  <c r="E151" i="5" s="1"/>
  <c r="E192" i="5" s="1"/>
  <c r="E199" i="5" s="1"/>
  <c r="E240" i="5" s="1"/>
  <c r="E247" i="5" s="1"/>
  <c r="E288" i="5" s="1"/>
  <c r="E295" i="5" s="1"/>
  <c r="E336" i="5" s="1"/>
  <c r="E343" i="5" s="1"/>
  <c r="E384" i="5" s="1"/>
  <c r="B48" i="5"/>
  <c r="F384" i="5"/>
  <c r="F240" i="5"/>
  <c r="F103" i="5"/>
  <c r="F144" i="5"/>
  <c r="F199" i="5"/>
  <c r="F55" i="5"/>
  <c r="F343" i="5"/>
  <c r="F96" i="5"/>
  <c r="F247" i="5"/>
  <c r="F151" i="5"/>
  <c r="F192" i="5"/>
  <c r="F295" i="5"/>
  <c r="F336" i="5"/>
  <c r="F48" i="5"/>
  <c r="F288" i="5"/>
  <c r="H134" i="3" l="1"/>
  <c r="H86" i="3"/>
  <c r="A134" i="3" l="1"/>
  <c r="A422" i="3"/>
  <c r="A374" i="3"/>
  <c r="A326" i="3"/>
  <c r="A278" i="3"/>
  <c r="A230" i="3"/>
  <c r="A182" i="3"/>
  <c r="B86" i="3" l="1"/>
  <c r="E86" i="3"/>
  <c r="A90" i="3"/>
  <c r="A138" i="3" s="1"/>
  <c r="A186" i="3" s="1"/>
  <c r="A234" i="3" s="1"/>
  <c r="A282" i="3" s="1"/>
  <c r="A330" i="3" s="1"/>
  <c r="A378" i="3" s="1"/>
  <c r="A91" i="3"/>
  <c r="A139" i="3" s="1"/>
  <c r="A187" i="3" s="1"/>
  <c r="A235" i="3" s="1"/>
  <c r="A283" i="3" s="1"/>
  <c r="A331" i="3" s="1"/>
  <c r="A379" i="3" s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  <c r="F86" i="3"/>
  <c r="E93" i="3" l="1"/>
  <c r="F93" i="3"/>
  <c r="E134" i="3" l="1"/>
  <c r="F134" i="3"/>
  <c r="E141" i="3" l="1"/>
  <c r="F141" i="3"/>
  <c r="E182" i="3" l="1"/>
  <c r="F182" i="3"/>
  <c r="E189" i="3" l="1"/>
  <c r="F189" i="3"/>
  <c r="E230" i="3" l="1"/>
  <c r="F230" i="3"/>
  <c r="E237" i="3" l="1"/>
  <c r="F237" i="3"/>
  <c r="E278" i="3" l="1"/>
  <c r="F278" i="3"/>
  <c r="E285" i="3" l="1"/>
  <c r="F285" i="3"/>
  <c r="E326" i="3" l="1"/>
  <c r="F326" i="3"/>
  <c r="E333" i="3" l="1"/>
  <c r="F333" i="3"/>
  <c r="E374" i="3" l="1"/>
  <c r="F374" i="3"/>
  <c r="E381" i="3" l="1"/>
  <c r="F381" i="3"/>
  <c r="E422" i="3" l="1"/>
  <c r="F422" i="3"/>
</calcChain>
</file>

<file path=xl/sharedStrings.xml><?xml version="1.0" encoding="utf-8"?>
<sst xmlns="http://schemas.openxmlformats.org/spreadsheetml/2006/main" count="10750" uniqueCount="10608">
  <si>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</si>
  <si>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</si>
  <si>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</si>
  <si>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</si>
  <si>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</si>
  <si>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</si>
  <si>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</si>
  <si>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</si>
  <si>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</si>
  <si>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</si>
  <si>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</si>
  <si>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</si>
  <si>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</si>
  <si>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</si>
  <si>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</si>
  <si>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</si>
  <si>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</si>
  <si>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</si>
  <si>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</si>
  <si>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</si>
  <si>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</si>
  <si>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</si>
  <si>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</si>
  <si>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</si>
  <si>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</si>
  <si>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</si>
  <si>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</si>
  <si>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</si>
  <si>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</si>
  <si>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</si>
  <si>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</si>
  <si>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</si>
  <si>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</si>
  <si>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</si>
  <si>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</si>
  <si>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</si>
  <si>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</si>
  <si>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</si>
  <si>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</si>
  <si>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</si>
  <si>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</si>
  <si>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</si>
  <si>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</si>
  <si>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</si>
  <si>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</si>
  <si>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</si>
  <si>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</si>
  <si>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</si>
  <si>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</si>
  <si>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</si>
  <si>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</si>
  <si>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</si>
  <si>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</si>
  <si>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</si>
  <si>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</si>
  <si>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</si>
  <si>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</si>
  <si>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</si>
  <si>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</si>
  <si>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</si>
  <si>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</si>
  <si>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</si>
  <si>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</si>
  <si>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</si>
  <si>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</si>
  <si>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</si>
  <si>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</si>
  <si>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</si>
  <si>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</si>
  <si>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</si>
  <si>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</si>
  <si>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</si>
  <si>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</si>
  <si>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</si>
  <si>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</si>
  <si>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</si>
  <si>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</si>
  <si>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</si>
  <si>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</si>
  <si>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</si>
  <si>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</si>
  <si>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</si>
  <si>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</si>
  <si>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</si>
  <si>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</si>
  <si>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</si>
  <si>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</si>
  <si>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</si>
  <si>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</si>
  <si>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</si>
  <si>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</si>
  <si>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</si>
  <si>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</si>
  <si>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</si>
  <si>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</si>
  <si>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</si>
  <si>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</si>
  <si>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</si>
  <si>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</si>
  <si>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</si>
  <si>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</si>
  <si>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</si>
  <si>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</si>
  <si>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</si>
  <si>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</si>
  <si>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</si>
  <si>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</si>
  <si>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</si>
  <si>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</si>
  <si>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</si>
  <si>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</si>
  <si>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</si>
  <si>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</si>
  <si>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</si>
  <si>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</si>
  <si>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</si>
  <si>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</si>
  <si>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</si>
  <si>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</si>
  <si>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</si>
  <si>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</si>
  <si>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</si>
  <si>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</si>
  <si>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</si>
  <si>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</si>
  <si>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</si>
  <si>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</si>
  <si>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</si>
  <si>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</si>
  <si>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</si>
  <si>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</si>
  <si>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</si>
  <si>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</si>
  <si>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</si>
  <si>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</si>
  <si>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</si>
  <si>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</si>
  <si>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</si>
  <si>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</si>
  <si>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</si>
  <si>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</si>
  <si>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</si>
  <si>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</si>
  <si>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</si>
  <si>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</si>
  <si>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</si>
  <si>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</si>
  <si>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</si>
  <si>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</si>
  <si>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</si>
  <si>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</si>
  <si>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</si>
  <si>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</si>
  <si>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</si>
  <si>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</si>
  <si>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</si>
  <si>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</si>
  <si>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</si>
  <si>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</si>
  <si>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</si>
  <si>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</si>
  <si>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</si>
  <si>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</si>
  <si>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</si>
  <si>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</si>
  <si>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</si>
  <si>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</si>
  <si>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</si>
  <si>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</si>
  <si>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</si>
  <si>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</si>
  <si>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</si>
  <si>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</si>
  <si>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</si>
  <si>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</si>
  <si>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</si>
  <si>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</si>
  <si>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</si>
  <si>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</si>
  <si>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</si>
  <si>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</si>
  <si>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</si>
  <si>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</si>
  <si>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</si>
  <si>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</si>
  <si>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</si>
  <si>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</si>
  <si>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</si>
  <si>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</si>
  <si>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</si>
  <si>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</si>
  <si>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</si>
  <si>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</si>
  <si>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</si>
  <si>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</si>
  <si>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</si>
  <si>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</si>
  <si>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</si>
  <si>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</si>
  <si>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</si>
  <si>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</si>
  <si>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</si>
  <si>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</si>
  <si>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</si>
  <si>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</si>
  <si>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</si>
  <si>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</si>
  <si>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</si>
  <si>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</si>
  <si>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</si>
  <si>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</si>
  <si>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</si>
  <si>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</si>
  <si>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</si>
  <si>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</si>
  <si>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</si>
  <si>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</si>
  <si>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</si>
  <si>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</si>
  <si>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</si>
  <si>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</si>
  <si>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</si>
  <si>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</si>
  <si>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</si>
  <si>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</si>
  <si>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</si>
  <si>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</si>
  <si>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</si>
  <si>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</si>
  <si>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</si>
  <si>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</si>
  <si>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</si>
  <si>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</si>
  <si>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</si>
  <si>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</si>
  <si>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</si>
  <si>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</si>
  <si>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</si>
  <si>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</si>
  <si>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</si>
  <si>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</si>
  <si>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</si>
  <si>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</si>
  <si>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</si>
  <si>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</si>
  <si>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</si>
  <si>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</si>
  <si>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</si>
  <si>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</si>
  <si>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</si>
  <si>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</si>
  <si>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</si>
  <si>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</si>
  <si>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</si>
  <si>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</si>
  <si>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</si>
  <si>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</si>
  <si>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</si>
  <si>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</si>
  <si>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</si>
  <si>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</si>
  <si>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</si>
  <si>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</si>
  <si>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</si>
  <si>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</si>
  <si>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</si>
  <si>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</si>
  <si>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</si>
  <si>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</si>
  <si>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</si>
  <si>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</si>
  <si>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</si>
  <si>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</si>
  <si>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</si>
  <si>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</si>
  <si>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</si>
  <si>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</si>
  <si>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</si>
  <si>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</si>
  <si>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</si>
  <si>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</si>
  <si>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</si>
  <si>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</si>
  <si>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</si>
  <si>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</si>
  <si>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</si>
  <si>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</si>
  <si>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</si>
  <si>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</si>
  <si>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</si>
  <si>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</si>
  <si>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</si>
  <si>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</si>
  <si>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</si>
  <si>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</si>
  <si>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</si>
  <si>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</si>
  <si>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</si>
  <si>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</si>
  <si>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</si>
  <si>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</si>
  <si>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</si>
  <si>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</si>
  <si>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</si>
  <si>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</si>
  <si>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</si>
  <si>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</si>
  <si>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</si>
  <si>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</si>
  <si>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</si>
  <si>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</si>
  <si>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</si>
  <si>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</si>
  <si>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</si>
  <si>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</si>
  <si>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</si>
  <si>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</si>
  <si>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</si>
  <si>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</si>
  <si>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</si>
  <si>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</si>
  <si>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</si>
  <si>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</si>
  <si>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</si>
  <si>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</si>
  <si>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</si>
  <si>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</si>
  <si>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</si>
  <si>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</si>
  <si>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</si>
  <si>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</si>
  <si>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</si>
  <si>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</si>
  <si>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</si>
  <si>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</si>
  <si>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</si>
  <si>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</si>
  <si>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</si>
  <si>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</si>
  <si>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</si>
  <si>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</si>
  <si>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</si>
  <si>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</si>
  <si>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</si>
  <si>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</si>
  <si>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</si>
  <si>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</si>
  <si>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</si>
  <si>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</si>
  <si>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</si>
  <si>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</si>
  <si>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</si>
  <si>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</si>
  <si>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</si>
  <si>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</si>
  <si>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</si>
  <si>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</si>
  <si>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</si>
  <si>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</si>
  <si>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</si>
  <si>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</si>
  <si>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</si>
  <si>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</si>
  <si>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</si>
  <si>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</si>
  <si>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</si>
  <si>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</si>
  <si>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</si>
  <si>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</si>
  <si>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</si>
  <si>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</si>
  <si>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</si>
  <si>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</si>
  <si>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</si>
  <si>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</si>
  <si>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</si>
  <si>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</si>
  <si>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</si>
  <si>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</si>
  <si>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</si>
  <si>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</si>
  <si>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</si>
  <si>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</si>
  <si>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</si>
  <si>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</si>
  <si>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</si>
  <si>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</si>
  <si>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</si>
  <si>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</si>
  <si>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</si>
  <si>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</si>
  <si>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</si>
  <si>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</si>
  <si>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</si>
  <si>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</si>
  <si>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</si>
  <si>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</si>
  <si>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</si>
  <si>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</si>
  <si>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</si>
  <si>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</si>
  <si>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</si>
  <si>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</si>
  <si>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</si>
  <si>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</si>
  <si>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</si>
  <si>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</si>
  <si>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</si>
  <si>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</si>
  <si>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</si>
  <si>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</si>
  <si>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</si>
  <si>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</si>
  <si>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</si>
  <si>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</si>
  <si>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</si>
  <si>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</si>
  <si>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</si>
  <si>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</si>
  <si>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</si>
  <si>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</si>
  <si>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</si>
  <si>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</si>
  <si>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</si>
  <si>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</si>
  <si>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</si>
  <si>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</si>
  <si>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</si>
  <si>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</si>
  <si>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</si>
  <si>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</si>
  <si>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</si>
  <si>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</si>
  <si>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</si>
  <si>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</si>
  <si>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</si>
  <si>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</si>
  <si>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</si>
  <si>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</si>
  <si>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</si>
  <si>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</si>
  <si>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</si>
  <si>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</si>
  <si>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</si>
  <si>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</si>
  <si>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</si>
  <si>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</si>
  <si>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</si>
  <si>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</si>
  <si>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</si>
  <si>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</si>
  <si>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</si>
  <si>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</si>
  <si>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</si>
  <si>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</si>
  <si>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</si>
  <si>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</si>
  <si>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</si>
  <si>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</si>
  <si>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</si>
  <si>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</si>
  <si>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</si>
  <si>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</si>
  <si>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</si>
  <si>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</si>
  <si>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</si>
  <si>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</si>
  <si>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</si>
  <si>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</si>
  <si>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</si>
  <si>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</si>
  <si>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</si>
  <si>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</si>
  <si>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</si>
  <si>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</si>
  <si>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</si>
  <si>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</si>
  <si>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</si>
  <si>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</si>
  <si>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</si>
  <si>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</si>
  <si>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</si>
  <si>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</si>
  <si>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</si>
  <si>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</si>
  <si>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</si>
  <si>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</si>
  <si>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</si>
  <si>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</si>
  <si>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</si>
  <si>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</si>
  <si>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</si>
  <si>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</si>
  <si>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</si>
  <si>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</si>
  <si>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</si>
  <si>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</si>
  <si>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</si>
  <si>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</si>
  <si>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</si>
  <si>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</si>
  <si>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</si>
  <si>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</si>
  <si>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</si>
  <si>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</si>
  <si>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</si>
  <si>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</si>
  <si>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</si>
  <si>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</si>
  <si>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</si>
  <si>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</si>
  <si>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</si>
  <si>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</si>
  <si>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</si>
  <si>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</si>
  <si>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</si>
  <si>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</si>
  <si>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</si>
  <si>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</si>
  <si>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</si>
  <si>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</si>
  <si>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</si>
  <si>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</si>
  <si>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</si>
  <si>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</si>
  <si>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</si>
  <si>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</si>
  <si>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</si>
  <si>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</si>
  <si>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</si>
  <si>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</si>
  <si>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</si>
  <si>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</si>
  <si>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</si>
  <si>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</si>
  <si>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</si>
  <si>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</si>
  <si>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</si>
  <si>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</si>
  <si>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</si>
  <si>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</si>
  <si>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</si>
  <si>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</si>
  <si>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</si>
  <si>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</si>
  <si>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</si>
  <si>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</si>
  <si>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</si>
  <si>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</si>
  <si>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</si>
  <si>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</si>
  <si>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</si>
  <si>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</si>
  <si>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</si>
  <si>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</si>
  <si>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</si>
  <si>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</si>
  <si>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</si>
  <si>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</si>
  <si>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</si>
  <si>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</si>
  <si>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</si>
  <si>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</si>
  <si>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</si>
  <si>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</si>
  <si>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</si>
  <si>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</si>
  <si>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</si>
  <si>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</si>
  <si>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</si>
  <si>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</si>
  <si>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</si>
  <si>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</si>
  <si>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</si>
  <si>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</si>
  <si>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</si>
  <si>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</si>
  <si>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</si>
  <si>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</si>
  <si>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</si>
  <si>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</si>
  <si>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</si>
  <si>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</si>
  <si>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</si>
  <si>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</si>
  <si>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</si>
  <si>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</si>
  <si>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</si>
  <si>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</si>
  <si>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</si>
  <si>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</si>
  <si>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</si>
  <si>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</si>
  <si>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</si>
  <si>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</si>
  <si>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</si>
  <si>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</si>
  <si>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</si>
  <si>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</si>
  <si>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</si>
  <si>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</si>
  <si>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</si>
  <si>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</si>
  <si>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</si>
  <si>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</si>
  <si>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</si>
  <si>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</si>
  <si>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</si>
  <si>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</si>
  <si>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</si>
  <si>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</si>
  <si>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</si>
  <si>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</si>
  <si>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</si>
  <si>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</si>
  <si>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</si>
  <si>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</si>
  <si>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</si>
  <si>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</si>
  <si>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</si>
  <si>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</si>
  <si>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</si>
  <si>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</si>
  <si>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</si>
  <si>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</si>
  <si>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</si>
  <si>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</si>
  <si>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</si>
  <si>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</si>
  <si>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</si>
  <si>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</si>
  <si>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</si>
  <si>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</si>
  <si>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</si>
  <si>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</si>
  <si>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</si>
  <si>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</si>
  <si>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</si>
  <si>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</si>
  <si>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</si>
  <si>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</si>
  <si>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</si>
  <si>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</si>
  <si>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</si>
  <si>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</si>
  <si>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</si>
  <si>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</si>
  <si>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</si>
  <si>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</si>
  <si>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</si>
  <si>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</si>
  <si>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</si>
  <si>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</si>
  <si>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</si>
  <si>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</si>
  <si>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</si>
  <si>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</si>
  <si>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</si>
  <si>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</si>
  <si>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</si>
  <si>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</si>
  <si>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</si>
  <si>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</si>
  <si>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</si>
  <si>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</si>
  <si>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</si>
  <si>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</si>
  <si>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</si>
  <si>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</si>
  <si>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</si>
  <si>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</si>
  <si>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</si>
  <si>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</si>
  <si>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</si>
  <si>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</si>
  <si>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</si>
  <si>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</si>
  <si>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</si>
  <si>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</si>
  <si>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</si>
  <si>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</si>
  <si>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</si>
  <si>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</si>
  <si>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</si>
  <si>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</si>
  <si>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</si>
  <si>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</si>
  <si>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</si>
  <si>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</si>
  <si>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</si>
  <si>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</si>
  <si>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</si>
  <si>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</si>
  <si>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</si>
  <si>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</si>
  <si>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</si>
  <si>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</si>
  <si>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</si>
  <si>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</si>
  <si>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</si>
  <si>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</si>
  <si>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</si>
  <si>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</si>
  <si>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</si>
  <si>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</si>
  <si>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</si>
  <si>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</si>
  <si>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</si>
  <si>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</si>
  <si>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</si>
  <si>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</si>
  <si>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</si>
  <si>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</si>
  <si>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</si>
  <si>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</si>
  <si>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</si>
  <si>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</si>
  <si>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</si>
  <si>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</si>
  <si>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</si>
  <si>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</si>
  <si>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</si>
  <si>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</si>
  <si>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</si>
  <si>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</si>
  <si>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</si>
  <si>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</si>
  <si>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</si>
  <si>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</si>
  <si>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</si>
  <si>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</si>
  <si>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</si>
  <si>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</si>
  <si>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</si>
  <si>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</si>
  <si>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</si>
  <si>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</si>
  <si>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</si>
  <si>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</si>
  <si>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</si>
  <si>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</si>
  <si>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</si>
  <si>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</si>
  <si>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</si>
  <si>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</si>
  <si>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</si>
  <si>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</si>
  <si>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</si>
  <si>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</si>
  <si>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</si>
  <si>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</si>
  <si>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</si>
  <si>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</si>
  <si>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</si>
  <si>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</si>
  <si>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</si>
  <si>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</si>
  <si>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</si>
  <si>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</si>
  <si>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</si>
  <si>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</si>
  <si>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</si>
  <si>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</si>
  <si>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</si>
  <si>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</si>
  <si>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</si>
  <si>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</si>
  <si>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</si>
  <si>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</si>
  <si>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</si>
  <si>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</si>
  <si>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</si>
  <si>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</si>
  <si>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</si>
  <si>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</si>
  <si>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</si>
  <si>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</si>
  <si>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</si>
  <si>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</si>
  <si>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</si>
  <si>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</si>
  <si>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</si>
  <si>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</si>
  <si>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</si>
  <si>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</si>
  <si>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</si>
  <si>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</si>
  <si>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</si>
  <si>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</si>
  <si>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</si>
  <si>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</si>
  <si>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</si>
  <si>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</si>
  <si>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</si>
  <si>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</si>
  <si>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</si>
  <si>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</si>
  <si>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</si>
  <si>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</si>
  <si>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</si>
  <si>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</si>
  <si>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</si>
  <si>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</si>
  <si>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</si>
  <si>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</si>
  <si>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</si>
  <si>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</si>
  <si>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</si>
  <si>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</si>
  <si>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</si>
  <si>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</si>
  <si>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</si>
  <si>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</si>
  <si>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</si>
  <si>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</si>
  <si>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</si>
  <si>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</si>
  <si>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</si>
  <si>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</si>
  <si>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</si>
  <si>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</si>
  <si>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</si>
  <si>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</si>
  <si>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</si>
  <si>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</si>
  <si>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</si>
  <si>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</si>
  <si>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</si>
  <si>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</si>
  <si>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</si>
  <si>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</si>
  <si>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</si>
  <si>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</si>
  <si>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</si>
  <si>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</si>
  <si>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</si>
  <si>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</si>
  <si>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</si>
  <si>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</si>
  <si>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</si>
  <si>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</si>
  <si>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</si>
  <si>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</si>
  <si>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</si>
  <si>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</si>
  <si>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</si>
  <si>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</si>
  <si>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</si>
  <si>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</si>
  <si>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</si>
  <si>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</si>
  <si>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</si>
  <si>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</si>
  <si>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</si>
  <si>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</si>
  <si>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</si>
  <si>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</si>
  <si>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</si>
  <si>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</si>
  <si>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</si>
  <si>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</si>
  <si>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</si>
  <si>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</si>
  <si>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</si>
  <si>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</si>
  <si>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</si>
  <si>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</si>
  <si>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</si>
  <si>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</si>
  <si>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</si>
  <si>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</si>
  <si>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</si>
  <si>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</si>
  <si>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</si>
  <si>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</si>
  <si>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</si>
  <si>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</si>
  <si>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</si>
  <si>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</si>
  <si>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</si>
  <si>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</si>
  <si>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</si>
  <si>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</si>
  <si>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</si>
  <si>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</si>
  <si>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</si>
  <si>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</si>
  <si>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</si>
  <si>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</si>
  <si>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</si>
  <si>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</si>
  <si>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</si>
  <si>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</si>
  <si>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</si>
  <si>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</si>
  <si>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</si>
  <si>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</si>
  <si>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</si>
  <si>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</si>
  <si>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</si>
  <si>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</si>
  <si>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</si>
  <si>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</si>
  <si>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</si>
  <si>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</si>
  <si>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</si>
  <si>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</si>
  <si>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</si>
  <si>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</si>
  <si>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</si>
  <si>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</si>
  <si>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</si>
  <si>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</si>
  <si>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</si>
  <si>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</si>
  <si>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</si>
  <si>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</si>
  <si>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</si>
  <si>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</si>
  <si>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</si>
  <si>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</si>
  <si>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</si>
  <si>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</si>
  <si>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</si>
  <si>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</si>
  <si>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</si>
  <si>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</si>
  <si>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</si>
  <si>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</si>
  <si>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</si>
  <si>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</si>
  <si>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</si>
  <si>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</si>
  <si>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</si>
  <si>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</si>
  <si>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</si>
  <si>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</si>
  <si>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</si>
  <si>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</si>
  <si>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</si>
  <si>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</si>
  <si>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</si>
  <si>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</si>
  <si>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</si>
  <si>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</si>
  <si>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</si>
  <si>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</si>
  <si>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</si>
  <si>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</si>
  <si>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</si>
  <si>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</si>
  <si>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</si>
  <si>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</si>
  <si>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</si>
  <si>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</si>
  <si>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</si>
  <si>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</si>
  <si>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</si>
  <si>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</si>
  <si>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</si>
  <si>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</si>
  <si>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</si>
  <si>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</si>
  <si>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</si>
  <si>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</si>
  <si>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</si>
  <si>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</si>
  <si>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</si>
  <si>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</si>
  <si>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</si>
  <si>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</si>
  <si>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</si>
  <si>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</si>
  <si>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</si>
  <si>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</si>
  <si>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</si>
  <si>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</si>
  <si>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</si>
  <si>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</si>
  <si>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</si>
  <si>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</si>
  <si>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</si>
  <si>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</si>
  <si>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</si>
  <si>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</si>
  <si>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</si>
  <si>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</si>
  <si>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</si>
  <si>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</si>
  <si>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</si>
  <si>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</si>
  <si>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</si>
  <si>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</si>
  <si>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</si>
  <si>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</si>
  <si>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</si>
  <si>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</si>
  <si>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</si>
  <si>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</si>
  <si>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</si>
  <si>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</si>
  <si>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</si>
  <si>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</si>
  <si>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</si>
  <si>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</si>
  <si>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</si>
  <si>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</si>
  <si>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</si>
  <si>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</si>
  <si>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</si>
  <si>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</si>
  <si>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</si>
  <si>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</si>
  <si>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</si>
  <si>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</si>
  <si>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</si>
  <si>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</si>
  <si>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</si>
  <si>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</si>
  <si>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</si>
  <si>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</si>
  <si>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</si>
  <si>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</si>
  <si>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</si>
  <si>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</si>
  <si>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</si>
  <si>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</si>
  <si>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</si>
  <si>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</si>
  <si>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</si>
  <si>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</si>
  <si>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</si>
  <si>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</si>
  <si>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</si>
  <si>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</si>
  <si>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</si>
  <si>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</si>
  <si>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</si>
  <si>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</si>
  <si>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</si>
  <si>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</si>
  <si>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</si>
  <si>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</si>
  <si>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</si>
  <si>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</si>
  <si>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</si>
  <si>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</si>
  <si>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</si>
  <si>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</si>
  <si>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</si>
  <si>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</si>
  <si>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</si>
  <si>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</si>
  <si>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</si>
  <si>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</si>
  <si>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</si>
  <si>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</si>
  <si>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</si>
  <si>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</si>
  <si>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</si>
  <si>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</si>
  <si>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</si>
  <si>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</si>
  <si>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</si>
  <si>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</si>
  <si>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</si>
  <si>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</si>
  <si>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</si>
  <si>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</si>
  <si>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</si>
  <si>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</si>
  <si>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</si>
  <si>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</si>
  <si>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</si>
  <si>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</si>
  <si>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</si>
  <si>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</si>
  <si>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</si>
  <si>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</si>
  <si>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</si>
  <si>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</si>
  <si>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</si>
  <si>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</si>
  <si>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</si>
  <si>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</si>
  <si>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</si>
  <si>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</si>
  <si>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</si>
  <si>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</si>
  <si>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</si>
  <si>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</si>
  <si>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</si>
  <si>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</si>
  <si>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</si>
  <si>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</si>
  <si>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</si>
  <si>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</si>
  <si>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</si>
  <si>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</si>
  <si>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</si>
  <si>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</si>
  <si>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</si>
  <si>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</si>
  <si>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</si>
  <si>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</si>
  <si>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</si>
  <si>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</si>
  <si>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</si>
  <si>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</si>
  <si>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</si>
  <si>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</si>
  <si>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</si>
  <si>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</si>
  <si>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</si>
  <si>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</si>
  <si>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</si>
  <si>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</si>
  <si>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</si>
  <si>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</si>
  <si>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</si>
  <si>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</si>
  <si>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</si>
  <si>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</si>
  <si>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</si>
  <si>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</si>
  <si>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</si>
  <si>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</si>
  <si>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</si>
  <si>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</si>
  <si>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</si>
  <si>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</si>
  <si>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</si>
  <si>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</si>
  <si>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</si>
  <si>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</si>
  <si>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</si>
  <si>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</si>
  <si>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</si>
  <si>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</si>
  <si>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</si>
  <si>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</si>
  <si>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</si>
  <si>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</si>
  <si>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</si>
  <si>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</si>
  <si>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</si>
  <si>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</si>
  <si>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</si>
  <si>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</si>
  <si>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</si>
  <si>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</si>
  <si>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</si>
  <si>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</si>
  <si>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</si>
  <si>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</si>
  <si>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</si>
  <si>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</si>
  <si>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</si>
  <si>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</si>
  <si>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</si>
  <si>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</si>
  <si>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</si>
  <si>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</si>
  <si>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</si>
  <si>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</si>
  <si>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</si>
  <si>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</si>
  <si>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</si>
  <si>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</si>
  <si>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</si>
  <si>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</si>
  <si>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</si>
  <si>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</si>
  <si>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</si>
  <si>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</si>
  <si>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</si>
  <si>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</si>
  <si>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</si>
  <si>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</si>
  <si>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</si>
  <si>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</si>
  <si>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</si>
  <si>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</si>
  <si>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</si>
  <si>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</si>
  <si>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</si>
  <si>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</si>
  <si>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</si>
  <si>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</si>
  <si>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</si>
  <si>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</si>
  <si>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</si>
  <si>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</si>
  <si>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</si>
  <si>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</si>
  <si>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</si>
  <si>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</si>
  <si>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</si>
  <si>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</si>
  <si>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</si>
  <si>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</si>
  <si>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</si>
  <si>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</si>
  <si>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</si>
  <si>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</si>
  <si>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</si>
  <si>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</si>
  <si>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</si>
  <si>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</si>
  <si>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</si>
  <si>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</si>
  <si>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</si>
  <si>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</si>
  <si>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</si>
  <si>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</si>
  <si>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</si>
  <si>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</si>
  <si>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</si>
  <si>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</si>
  <si>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</si>
  <si>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</si>
  <si>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</si>
  <si>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</si>
  <si>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</si>
  <si>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</si>
  <si>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</si>
  <si>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</si>
  <si>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</si>
  <si>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</si>
  <si>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</si>
  <si>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</si>
  <si>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</si>
  <si>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</si>
  <si>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</si>
  <si>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</si>
  <si>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</si>
  <si>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</si>
  <si>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</si>
  <si>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</si>
  <si>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</si>
  <si>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</si>
  <si>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</si>
  <si>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</si>
  <si>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</si>
  <si>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</si>
  <si>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</si>
  <si>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</si>
  <si>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</si>
  <si>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</si>
  <si>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</si>
  <si>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</si>
  <si>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</si>
  <si>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</si>
  <si>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</si>
  <si>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</si>
  <si>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</si>
  <si>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</si>
  <si>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</si>
  <si>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</si>
  <si>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</si>
  <si>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</si>
  <si>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</si>
  <si>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</si>
  <si>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</si>
  <si>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</si>
  <si>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</si>
  <si>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</si>
  <si>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</si>
  <si>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</si>
  <si>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</si>
  <si>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</si>
  <si>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</si>
  <si>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</si>
  <si>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</si>
  <si>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</si>
  <si>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</si>
  <si>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</si>
  <si>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</si>
  <si>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</si>
  <si>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</si>
  <si>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</si>
  <si>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</si>
  <si>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</si>
  <si>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</si>
  <si>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</si>
  <si>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</si>
  <si>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</si>
  <si>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</si>
  <si>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</si>
  <si>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</si>
  <si>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</si>
  <si>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</si>
  <si>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</si>
  <si>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</si>
  <si>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</si>
  <si>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</si>
  <si>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</si>
  <si>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</si>
  <si>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</si>
  <si>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</si>
  <si>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</si>
  <si>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</si>
  <si>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</si>
  <si>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</si>
  <si>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</si>
  <si>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</si>
  <si>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</si>
  <si>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</si>
  <si>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</si>
  <si>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</si>
  <si>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</si>
  <si>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</si>
  <si>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</si>
  <si>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</si>
  <si>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</si>
  <si>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</si>
  <si>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</si>
  <si>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</si>
  <si>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</si>
  <si>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</si>
  <si>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</si>
  <si>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</si>
  <si>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</si>
  <si>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</si>
  <si>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</si>
  <si>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</si>
  <si>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</si>
  <si>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</si>
  <si>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</si>
  <si>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</si>
  <si>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</si>
  <si>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</si>
  <si>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</si>
  <si>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</si>
  <si>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</si>
  <si>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</si>
  <si>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</si>
  <si>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</si>
  <si>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</si>
  <si>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</si>
  <si>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</si>
  <si>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</si>
  <si>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</si>
  <si>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</si>
  <si>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</si>
  <si>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</si>
  <si>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</si>
  <si>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</si>
  <si>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</si>
  <si>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</si>
  <si>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</si>
  <si>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</si>
  <si>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</si>
  <si>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</si>
  <si>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</si>
  <si>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</si>
  <si>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</si>
  <si>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</si>
  <si>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</si>
  <si>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</si>
  <si>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</si>
  <si>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</si>
  <si>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</si>
  <si>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</si>
  <si>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</si>
  <si>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</si>
  <si>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</si>
  <si>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</si>
  <si>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</si>
  <si>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</si>
  <si>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</si>
  <si>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</si>
  <si>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</si>
  <si>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</si>
  <si>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</si>
  <si>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</si>
  <si>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</si>
  <si>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</si>
  <si>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</si>
  <si>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</si>
  <si>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</si>
  <si>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</si>
  <si>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</si>
  <si>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</si>
  <si>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</si>
  <si>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</si>
  <si>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</si>
  <si>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</si>
  <si>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</si>
  <si>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</si>
  <si>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</si>
  <si>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</si>
  <si>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</si>
  <si>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</si>
  <si>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</si>
  <si>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</si>
  <si>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</si>
  <si>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</si>
  <si>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</si>
  <si>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</si>
  <si>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</si>
  <si>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</si>
  <si>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</si>
  <si>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</si>
  <si>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</si>
  <si>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</si>
  <si>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</si>
  <si>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</si>
  <si>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</si>
  <si>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</si>
  <si>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</si>
  <si>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</si>
  <si>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</si>
  <si>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</si>
  <si>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</si>
  <si>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</si>
  <si>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</si>
  <si>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</si>
  <si>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</si>
  <si>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</si>
  <si>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</si>
  <si>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</si>
  <si>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</si>
  <si>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</si>
  <si>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</si>
  <si>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</si>
  <si>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</si>
  <si>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</si>
  <si>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</si>
  <si>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</si>
  <si>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</si>
  <si>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</si>
  <si>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</si>
  <si>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</si>
  <si>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</si>
  <si>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</si>
  <si>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</si>
  <si>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</si>
  <si>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</si>
  <si>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</si>
  <si>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</si>
  <si>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</si>
  <si>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</si>
  <si>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</si>
  <si>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</si>
  <si>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</si>
  <si>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</si>
  <si>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</si>
  <si>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</si>
  <si>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</si>
  <si>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</si>
  <si>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</si>
  <si>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</si>
  <si>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</si>
  <si>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</si>
  <si>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</si>
  <si>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</si>
  <si>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</si>
  <si>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</si>
  <si>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</si>
  <si>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</si>
  <si>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</si>
  <si>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</si>
  <si>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</si>
  <si>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</si>
  <si>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</si>
  <si>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</si>
  <si>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</si>
  <si>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</si>
  <si>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</si>
  <si>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</si>
  <si>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</si>
  <si>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</si>
  <si>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</si>
  <si>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</si>
  <si>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</si>
  <si>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</si>
  <si>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</si>
  <si>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</si>
  <si>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</si>
  <si>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</si>
  <si>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</si>
  <si>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</si>
  <si>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</si>
  <si>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</si>
  <si>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</si>
  <si>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</si>
  <si>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</si>
  <si>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</si>
  <si>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</si>
  <si>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</si>
  <si>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</si>
  <si>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</si>
  <si>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</si>
  <si>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</si>
  <si>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</si>
  <si>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</si>
  <si>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</si>
  <si>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</si>
  <si>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</si>
  <si>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</si>
  <si>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</si>
  <si>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</si>
  <si>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</si>
  <si>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</si>
  <si>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</si>
  <si>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</si>
  <si>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</si>
  <si>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</si>
  <si>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</si>
  <si>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</si>
  <si>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</si>
  <si>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</si>
  <si>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</si>
  <si>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</si>
  <si>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</si>
  <si>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</si>
  <si>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</si>
  <si>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</si>
  <si>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</si>
  <si>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</si>
  <si>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</si>
  <si>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</si>
  <si>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</si>
  <si>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</si>
  <si>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</si>
  <si>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</si>
  <si>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</si>
  <si>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</si>
  <si>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</si>
  <si>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</si>
  <si>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</si>
  <si>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</si>
  <si>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</si>
  <si>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</si>
  <si>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</si>
  <si>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</si>
  <si>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</si>
  <si>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</si>
  <si>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</si>
  <si>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</si>
  <si>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</si>
  <si>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</si>
  <si>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</si>
  <si>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</si>
  <si>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</si>
  <si>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</si>
  <si>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</si>
  <si>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</si>
  <si>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</si>
  <si>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</si>
  <si>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</si>
  <si>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</si>
  <si>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</si>
  <si>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</si>
  <si>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</si>
  <si>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</si>
  <si>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</si>
  <si>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</si>
  <si>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</si>
  <si>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</si>
  <si>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</si>
  <si>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</si>
  <si>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</si>
  <si>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</si>
  <si>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</si>
  <si>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</si>
  <si>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</si>
  <si>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</si>
  <si>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</si>
  <si>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</si>
  <si>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</si>
  <si>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</si>
  <si>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</si>
  <si>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</si>
  <si>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</si>
  <si>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</si>
  <si>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</si>
  <si>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</si>
  <si>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</si>
  <si>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</si>
  <si>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</si>
  <si>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</si>
  <si>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</si>
  <si>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</si>
  <si>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</si>
  <si>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</si>
  <si>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</si>
  <si>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</si>
  <si>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</si>
  <si>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</si>
  <si>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</si>
  <si>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</si>
  <si>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</si>
  <si>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</si>
  <si>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</si>
  <si>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</si>
  <si>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</si>
  <si>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</si>
  <si>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</si>
  <si>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</si>
  <si>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</si>
  <si>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</si>
  <si>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</si>
  <si>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</si>
  <si>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</si>
  <si>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</si>
  <si>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</si>
  <si>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</si>
  <si>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</si>
  <si>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</si>
  <si>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</si>
  <si>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</si>
  <si>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</si>
  <si>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</si>
  <si>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</si>
  <si>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</si>
  <si>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</si>
  <si>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</si>
  <si>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</si>
  <si>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</si>
  <si>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</si>
  <si>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</si>
  <si>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</si>
  <si>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</si>
  <si>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</si>
  <si>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</si>
  <si>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</si>
  <si>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</si>
  <si>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</si>
  <si>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</si>
  <si>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</si>
  <si>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</si>
  <si>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</si>
  <si>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</si>
  <si>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</si>
  <si>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</si>
  <si>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</si>
  <si>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</si>
  <si>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</si>
  <si>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</si>
  <si>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</si>
  <si>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</si>
  <si>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</si>
  <si>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</si>
  <si>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</si>
  <si>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</si>
  <si>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</si>
  <si>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</si>
  <si>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</si>
  <si>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</si>
  <si>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</si>
  <si>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</si>
  <si>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</si>
  <si>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</si>
  <si>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</si>
  <si>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</si>
  <si>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</si>
  <si>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</si>
  <si>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</si>
  <si>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</si>
  <si>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</si>
  <si>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</si>
  <si>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</si>
  <si>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</si>
  <si>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</si>
  <si>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</si>
  <si>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</si>
  <si>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</si>
  <si>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</si>
  <si>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</si>
  <si>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</si>
  <si>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</si>
  <si>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</si>
  <si>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</si>
  <si>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</si>
  <si>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</si>
  <si>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</si>
  <si>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</si>
  <si>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</si>
  <si>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</si>
  <si>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</si>
  <si>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</si>
  <si>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</si>
  <si>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</si>
  <si>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</si>
  <si>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</si>
  <si>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</si>
  <si>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</si>
  <si>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</si>
  <si>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</si>
  <si>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</si>
  <si>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</si>
  <si>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</si>
  <si>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</si>
  <si>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</si>
  <si>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</si>
  <si>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</si>
  <si>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</si>
  <si>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</si>
  <si>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</si>
  <si>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</si>
  <si>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</si>
  <si>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</si>
  <si>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</si>
  <si>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</si>
  <si>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</si>
  <si>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</si>
  <si>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</si>
  <si>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</si>
  <si>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</si>
  <si>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</si>
  <si>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</si>
  <si>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</si>
  <si>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</si>
  <si>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</si>
  <si>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</si>
  <si>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</si>
  <si>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</si>
  <si>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</si>
  <si>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</si>
  <si>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</si>
  <si>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</si>
  <si>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</si>
  <si>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</si>
  <si>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</si>
  <si>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</si>
  <si>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</si>
  <si>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</si>
  <si>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</si>
  <si>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</si>
  <si>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</si>
  <si>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</si>
  <si>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</si>
  <si>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</si>
  <si>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</si>
  <si>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</si>
  <si>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</si>
  <si>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</si>
  <si>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</si>
  <si>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</si>
  <si>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</si>
  <si>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</si>
  <si>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</si>
  <si>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</si>
  <si>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</si>
  <si>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</si>
  <si>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</si>
  <si>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</si>
  <si>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</si>
  <si>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</si>
  <si>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</si>
  <si>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</si>
  <si>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</si>
  <si>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</si>
  <si>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</si>
  <si>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</si>
  <si>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</si>
  <si>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</si>
  <si>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</si>
  <si>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</si>
  <si>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</si>
  <si>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</si>
  <si>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</si>
  <si>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</si>
  <si>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</si>
  <si>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</si>
  <si>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</si>
  <si>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</si>
  <si>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</si>
  <si>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</si>
  <si>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</si>
  <si>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</si>
  <si>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</si>
  <si>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</si>
  <si>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</si>
  <si>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</si>
  <si>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</si>
  <si>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</si>
  <si>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</si>
  <si>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</si>
  <si>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</si>
  <si>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</si>
  <si>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</si>
  <si>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</si>
  <si>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</si>
  <si>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</si>
  <si>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</si>
  <si>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</si>
  <si>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</si>
  <si>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</si>
  <si>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</si>
  <si>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</si>
  <si>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</si>
  <si>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</si>
  <si>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</si>
  <si>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</si>
  <si>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</si>
  <si>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</si>
  <si>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</si>
  <si>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</si>
  <si>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</si>
  <si>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</si>
  <si>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</si>
  <si>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</si>
  <si>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</si>
  <si>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</si>
  <si>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</si>
  <si>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</si>
  <si>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</si>
  <si>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</si>
  <si>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</si>
  <si>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</si>
  <si>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</si>
  <si>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</si>
  <si>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</si>
  <si>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</si>
  <si>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</si>
  <si>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</si>
  <si>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</si>
  <si>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</si>
  <si>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</si>
  <si>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</si>
  <si>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</si>
  <si>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</si>
  <si>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</si>
  <si>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</si>
  <si>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</si>
  <si>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</si>
  <si>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</si>
  <si>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</si>
  <si>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</si>
  <si>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</si>
  <si>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</si>
  <si>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</si>
  <si>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</si>
  <si>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</si>
  <si>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</si>
  <si>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</si>
  <si>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</si>
  <si>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</si>
  <si>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</si>
  <si>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</si>
  <si>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</si>
  <si>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</si>
  <si>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</si>
  <si>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</si>
  <si>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</si>
  <si>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</si>
  <si>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</si>
  <si>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</si>
  <si>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</si>
  <si>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</si>
  <si>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</si>
  <si>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</si>
  <si>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</si>
  <si>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</si>
  <si>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</si>
  <si>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</si>
  <si>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</si>
  <si>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</si>
  <si>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</si>
  <si>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</si>
  <si>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</si>
  <si>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</si>
  <si>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</si>
  <si>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</si>
  <si>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</si>
  <si>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</si>
  <si>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</si>
  <si>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</si>
  <si>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</si>
  <si>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</si>
  <si>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</si>
  <si>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</si>
  <si>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</si>
  <si>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</si>
  <si>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</si>
  <si>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</si>
  <si>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</si>
  <si>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</si>
  <si>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</si>
  <si>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</si>
  <si>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</si>
  <si>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</si>
  <si>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</si>
  <si>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</si>
  <si>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</si>
  <si>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</si>
  <si>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</si>
  <si>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</si>
  <si>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</si>
  <si>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</si>
  <si>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</si>
  <si>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</si>
  <si>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</si>
  <si>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</si>
  <si>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</si>
  <si>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</si>
  <si>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</si>
  <si>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</si>
  <si>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</si>
  <si>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</si>
  <si>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</si>
  <si>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</si>
  <si>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</si>
  <si>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</si>
  <si>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</si>
  <si>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</si>
  <si>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</si>
  <si>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</si>
  <si>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</si>
  <si>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</si>
  <si>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</si>
  <si>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</si>
  <si>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</si>
  <si>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</si>
  <si>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</si>
  <si>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</si>
  <si>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</si>
  <si>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</si>
  <si>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</si>
  <si>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</si>
  <si>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</si>
  <si>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</si>
  <si>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</si>
  <si>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</si>
  <si>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</si>
  <si>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</si>
  <si>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</si>
  <si>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</si>
  <si>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</si>
  <si>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</si>
  <si>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</si>
  <si>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</si>
  <si>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</si>
  <si>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</si>
  <si>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</si>
  <si>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</si>
  <si>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</si>
  <si>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</si>
  <si>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</si>
  <si>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</si>
  <si>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</si>
  <si>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</si>
  <si>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</si>
  <si>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</si>
  <si>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</si>
  <si>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</si>
  <si>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</si>
  <si>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</si>
  <si>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</si>
  <si>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</si>
  <si>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</si>
  <si>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</si>
  <si>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</si>
  <si>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</si>
  <si>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</si>
  <si>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</si>
  <si>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</si>
  <si>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</si>
  <si>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</si>
  <si>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</si>
  <si>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</si>
  <si>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</si>
  <si>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</si>
  <si>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</si>
  <si>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</si>
  <si>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</si>
  <si>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</si>
  <si>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</si>
  <si>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</si>
  <si>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</si>
  <si>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</si>
  <si>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</si>
  <si>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</si>
  <si>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</si>
  <si>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</si>
  <si>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</si>
  <si>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</si>
  <si>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</si>
  <si>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</si>
  <si>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</si>
  <si>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</si>
  <si>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</si>
  <si>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</si>
  <si>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</si>
  <si>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</si>
  <si>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</si>
  <si>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</si>
  <si>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</si>
  <si>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</si>
  <si>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</si>
  <si>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</si>
  <si>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</si>
  <si>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</si>
  <si>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</si>
  <si>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</si>
  <si>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</si>
  <si>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</si>
  <si>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</si>
  <si>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</si>
  <si>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</si>
  <si>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</si>
  <si>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</si>
  <si>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</si>
  <si>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</si>
  <si>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</si>
  <si>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</si>
  <si>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</si>
  <si>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</si>
  <si>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</si>
  <si>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</si>
  <si>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</si>
  <si>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</si>
  <si>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</si>
  <si>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</si>
  <si>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</si>
  <si>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</si>
  <si>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</si>
  <si>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</si>
  <si>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</si>
  <si>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</si>
  <si>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</si>
  <si>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</si>
  <si>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</si>
  <si>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</si>
  <si>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</si>
  <si>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</si>
  <si>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</si>
  <si>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</si>
  <si>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</si>
  <si>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</si>
  <si>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</si>
  <si>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</si>
  <si>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</si>
  <si>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</si>
  <si>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</si>
  <si>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</si>
  <si>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</si>
  <si>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</si>
  <si>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</si>
  <si>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</si>
  <si>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</si>
  <si>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</si>
  <si>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</si>
  <si>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</si>
  <si>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</si>
  <si>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</si>
  <si>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</si>
  <si>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</si>
  <si>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</si>
  <si>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</si>
  <si>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</si>
  <si>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</si>
  <si>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</si>
  <si>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</si>
  <si>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</si>
  <si>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</si>
  <si>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</si>
  <si>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</si>
  <si>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</si>
  <si>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</si>
  <si>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</si>
  <si>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</si>
  <si>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</si>
  <si>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</si>
  <si>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</si>
  <si>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</si>
  <si>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</si>
  <si>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</si>
  <si>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</si>
  <si>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</si>
  <si>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</si>
  <si>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</si>
  <si>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</si>
  <si>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</si>
  <si>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</si>
  <si>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</si>
  <si>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</si>
  <si>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</si>
  <si>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</si>
  <si>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</si>
  <si>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</si>
  <si>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</si>
  <si>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</si>
  <si>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</si>
  <si>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</si>
  <si>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</si>
  <si>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</si>
  <si>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</si>
  <si>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</si>
  <si>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</si>
  <si>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</si>
  <si>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</si>
  <si>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</si>
  <si>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</si>
  <si>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</si>
  <si>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</si>
  <si>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</si>
  <si>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</si>
  <si>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</si>
  <si>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</si>
  <si>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</si>
  <si>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</si>
  <si>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</si>
  <si>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</si>
  <si>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</si>
  <si>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</si>
  <si>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</si>
  <si>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</si>
  <si>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</si>
  <si>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</si>
  <si>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</si>
  <si>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</si>
  <si>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</si>
  <si>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</si>
  <si>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</si>
  <si>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</si>
  <si>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</si>
  <si>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</si>
  <si>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</si>
  <si>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</si>
  <si>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</si>
  <si>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</si>
  <si>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</si>
  <si>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</si>
  <si>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</si>
  <si>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</si>
  <si>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</si>
  <si>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</si>
  <si>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</si>
  <si>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</si>
  <si>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</si>
  <si>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</si>
  <si>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</si>
  <si>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</si>
  <si>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</si>
  <si>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</si>
  <si>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</si>
  <si>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</si>
  <si>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</si>
  <si>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</si>
  <si>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</si>
  <si>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</si>
  <si>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</si>
  <si>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</si>
  <si>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</si>
  <si>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</si>
  <si>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</si>
  <si>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</si>
  <si>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</si>
  <si>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</si>
  <si>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</si>
  <si>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</si>
  <si>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</si>
  <si>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</si>
  <si>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</si>
  <si>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</si>
  <si>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</si>
  <si>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</si>
  <si>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</si>
  <si>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</si>
  <si>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</si>
  <si>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</si>
  <si>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</si>
  <si>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</si>
  <si>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</si>
  <si>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</si>
  <si>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</si>
  <si>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</si>
  <si>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</si>
  <si>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</si>
  <si>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</si>
  <si>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</si>
  <si>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</si>
  <si>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</si>
  <si>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</si>
  <si>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</si>
  <si>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</si>
  <si>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</si>
  <si>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</si>
  <si>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</si>
  <si>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</si>
  <si>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</si>
  <si>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</si>
  <si>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</si>
  <si>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</si>
  <si>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</si>
  <si>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</si>
  <si>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</si>
  <si>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</si>
  <si>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</si>
  <si>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</si>
  <si>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</si>
  <si>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</si>
  <si>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</si>
  <si>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</si>
  <si>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</si>
  <si>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</si>
  <si>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</si>
  <si>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</si>
  <si>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</si>
  <si>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</si>
  <si>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</si>
  <si>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</si>
  <si>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</si>
  <si>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</si>
  <si>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</si>
  <si>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</si>
  <si>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</si>
  <si>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</si>
  <si>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</si>
  <si>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</si>
  <si>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</si>
  <si>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</si>
  <si>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</si>
  <si>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</si>
  <si>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</si>
  <si>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</si>
  <si>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</si>
  <si>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</si>
  <si>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</si>
  <si>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</si>
  <si>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</si>
  <si>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</si>
  <si>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</si>
  <si>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</si>
  <si>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</si>
  <si>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</si>
  <si>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</si>
  <si>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</si>
  <si>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</si>
  <si>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</si>
  <si>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</si>
  <si>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</si>
  <si>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</si>
  <si>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</si>
  <si>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</si>
  <si>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</si>
  <si>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</si>
  <si>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</si>
  <si>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</si>
  <si>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</si>
  <si>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</si>
  <si>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</si>
  <si>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</si>
  <si>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</si>
  <si>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</si>
  <si>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</si>
  <si>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</si>
  <si>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</si>
  <si>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</si>
  <si>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</si>
  <si>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</si>
  <si>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</si>
  <si>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</si>
  <si>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</si>
  <si>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</si>
  <si>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</si>
  <si>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</si>
  <si>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</si>
  <si>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</si>
  <si>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</si>
  <si>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</si>
  <si>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</si>
  <si>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</si>
  <si>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</si>
  <si>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</si>
  <si>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</si>
  <si>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</si>
  <si>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</si>
  <si>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</si>
  <si>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</si>
  <si>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</si>
  <si>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</si>
  <si>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</si>
  <si>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</si>
  <si>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</si>
  <si>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</si>
  <si>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</si>
  <si>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</si>
  <si>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</si>
  <si>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</si>
  <si>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</si>
  <si>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</si>
  <si>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</si>
  <si>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</si>
  <si>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</si>
  <si>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</si>
  <si>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</si>
  <si>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</si>
  <si>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</si>
  <si>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</si>
  <si>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</si>
  <si>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</si>
  <si>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</si>
  <si>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</si>
  <si>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</si>
  <si>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</si>
  <si>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</si>
  <si>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</si>
  <si>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</si>
  <si>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</si>
  <si>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</si>
  <si>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</si>
  <si>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</si>
  <si>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</si>
  <si>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</si>
  <si>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</si>
  <si>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</si>
  <si>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</si>
  <si>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</si>
  <si>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</si>
  <si>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</si>
  <si>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</si>
  <si>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</si>
  <si>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</si>
  <si>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</si>
  <si>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</si>
  <si>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</si>
  <si>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</si>
  <si>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</si>
  <si>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</si>
  <si>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</si>
  <si>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</si>
  <si>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</si>
  <si>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</si>
  <si>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</si>
  <si>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</si>
  <si>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</si>
  <si>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</si>
  <si>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</si>
  <si>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</si>
  <si>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</si>
  <si>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</si>
  <si>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</si>
  <si>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</si>
  <si>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</si>
  <si>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</si>
  <si>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</si>
  <si>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</si>
  <si>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</si>
  <si>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</si>
  <si>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</si>
  <si>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</si>
  <si>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</si>
  <si>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</si>
  <si>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</si>
  <si>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</si>
  <si>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</si>
  <si>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</si>
  <si>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</si>
  <si>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</si>
  <si>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</si>
  <si>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</si>
  <si>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</si>
  <si>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</si>
  <si>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</si>
  <si>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</si>
  <si>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</si>
  <si>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</si>
  <si>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</si>
  <si>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</si>
  <si>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</si>
  <si>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</si>
  <si>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</si>
  <si>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</si>
  <si>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</si>
  <si>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</si>
  <si>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</si>
  <si>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</si>
  <si>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</si>
  <si>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</si>
  <si>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</si>
  <si>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</si>
  <si>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</si>
  <si>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</si>
  <si>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</si>
  <si>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</si>
  <si>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</si>
  <si>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</si>
  <si>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</si>
  <si>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</si>
  <si>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</si>
  <si>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</si>
  <si>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</si>
  <si>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</si>
  <si>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</si>
  <si>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</si>
  <si>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</si>
  <si>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</si>
  <si>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</si>
  <si>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</si>
  <si>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</si>
  <si>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</si>
  <si>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</si>
  <si>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</si>
  <si>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</si>
  <si>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</si>
  <si>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</si>
  <si>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</si>
  <si>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</si>
  <si>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</si>
  <si>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</si>
  <si>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</si>
  <si>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</si>
  <si>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</si>
  <si>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</si>
  <si>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</si>
  <si>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</si>
  <si>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</si>
  <si>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</si>
  <si>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</si>
  <si>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</si>
  <si>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</si>
  <si>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</si>
  <si>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</si>
  <si>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</si>
  <si>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</si>
  <si>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</si>
  <si>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</si>
  <si>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</si>
  <si>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</si>
  <si>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</si>
  <si>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</si>
  <si>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</si>
  <si>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</si>
  <si>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</si>
  <si>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</si>
  <si>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</si>
  <si>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</si>
  <si>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</si>
  <si>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</si>
  <si>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</si>
  <si>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</si>
  <si>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</si>
  <si>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</si>
  <si>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</si>
  <si>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</si>
  <si>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</si>
  <si>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</si>
  <si>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</si>
  <si>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</si>
  <si>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</si>
  <si>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</si>
  <si>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</si>
  <si>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</si>
  <si>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</si>
  <si>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</si>
  <si>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</si>
  <si>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</si>
  <si>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</si>
  <si>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</si>
  <si>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</si>
  <si>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</si>
  <si>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</si>
  <si>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</si>
  <si>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</si>
  <si>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</si>
  <si>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</si>
  <si>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</si>
  <si>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</si>
  <si>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</si>
  <si>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</si>
  <si>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</si>
  <si>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</si>
  <si>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</si>
  <si>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</si>
  <si>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</si>
  <si>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</si>
  <si>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</si>
  <si>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</si>
  <si>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</si>
  <si>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</si>
  <si>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</si>
  <si>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</si>
  <si>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</si>
  <si>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</si>
  <si>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</si>
  <si>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</si>
  <si>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</si>
  <si>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</si>
  <si>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</si>
  <si>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</si>
  <si>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</si>
  <si>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</si>
  <si>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</si>
  <si>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</si>
  <si>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</si>
  <si>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</si>
  <si>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</si>
  <si>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</si>
  <si>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</si>
  <si>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</si>
  <si>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</si>
  <si>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</si>
  <si>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</si>
  <si>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</si>
  <si>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</si>
  <si>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</si>
  <si>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</si>
  <si>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</si>
  <si>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</si>
  <si>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</si>
  <si>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</si>
  <si>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</si>
  <si>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</si>
  <si>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</si>
  <si>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</si>
  <si>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</si>
  <si>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</si>
  <si>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</si>
  <si>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</si>
  <si>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</si>
  <si>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</si>
  <si>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</si>
  <si>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</si>
  <si>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</si>
  <si>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</si>
  <si>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</si>
  <si>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</si>
  <si>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</si>
  <si>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</si>
  <si>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</si>
  <si>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</si>
  <si>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</si>
  <si>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</si>
  <si>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</si>
  <si>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</si>
  <si>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</si>
  <si>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</si>
  <si>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</si>
  <si>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</si>
  <si>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</si>
  <si>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</si>
  <si>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</si>
  <si>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</si>
  <si>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</si>
  <si>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</si>
  <si>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</si>
  <si>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</si>
  <si>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</si>
  <si>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</si>
  <si>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</si>
  <si>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</si>
  <si>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</si>
  <si>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</si>
  <si>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</si>
  <si>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</si>
  <si>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</si>
  <si>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</si>
  <si>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</si>
  <si>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</si>
  <si>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</si>
  <si>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</si>
  <si>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</si>
  <si>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</si>
  <si>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</si>
  <si>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</si>
  <si>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</si>
  <si>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</si>
  <si>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</si>
  <si>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</si>
  <si>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</si>
  <si>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</si>
  <si>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</si>
  <si>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</si>
  <si>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</si>
  <si>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</si>
  <si>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</si>
  <si>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</si>
  <si>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</si>
  <si>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</si>
  <si>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</si>
  <si>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</si>
  <si>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</si>
  <si>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</si>
  <si>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</si>
  <si>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</si>
  <si>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</si>
  <si>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</si>
  <si>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</si>
  <si>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</si>
  <si>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</si>
  <si>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</si>
  <si>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</si>
  <si>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</si>
  <si>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</si>
  <si>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</si>
  <si>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</si>
  <si>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</si>
  <si>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</si>
  <si>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</si>
  <si>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</si>
  <si>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</si>
  <si>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</si>
  <si>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</si>
  <si>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</si>
  <si>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</si>
  <si>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</si>
  <si>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</si>
  <si>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</si>
  <si>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</si>
  <si>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</si>
  <si>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</si>
  <si>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</si>
  <si>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</si>
  <si>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</si>
  <si>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</si>
  <si>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</si>
  <si>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</si>
  <si>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</si>
  <si>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</si>
  <si>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</si>
  <si>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</si>
  <si>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</si>
  <si>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</si>
  <si>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</si>
  <si>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</si>
  <si>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</si>
  <si>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</si>
  <si>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</si>
  <si>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</si>
  <si>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</si>
  <si>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</si>
  <si>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</si>
  <si>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</si>
  <si>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</si>
  <si>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</si>
  <si>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</si>
  <si>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</si>
  <si>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</si>
  <si>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</si>
  <si>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</si>
  <si>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</si>
  <si>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</si>
  <si>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</si>
  <si>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</si>
  <si>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</si>
  <si>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</si>
  <si>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</si>
  <si>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</si>
  <si>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</si>
  <si>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</si>
  <si>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</si>
  <si>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</si>
  <si>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</si>
  <si>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</si>
  <si>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</si>
  <si>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</si>
  <si>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</si>
  <si>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</si>
  <si>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</si>
  <si>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</si>
  <si>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</si>
  <si>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</si>
  <si>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</si>
  <si>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</si>
  <si>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</si>
  <si>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</si>
  <si>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</si>
  <si>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</si>
  <si>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</si>
  <si>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</si>
  <si>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</si>
  <si>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</si>
  <si>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</si>
  <si>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</si>
  <si>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</si>
  <si>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</si>
  <si>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</si>
  <si>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</si>
  <si>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</si>
  <si>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</si>
  <si>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</si>
  <si>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</si>
  <si>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</si>
  <si>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</si>
  <si>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</si>
  <si>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</si>
  <si>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</si>
  <si>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</si>
  <si>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</si>
  <si>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</si>
  <si>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</si>
  <si>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</si>
  <si>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</si>
  <si>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</si>
  <si>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</si>
  <si>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</si>
  <si>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</si>
  <si>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</si>
  <si>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</si>
  <si>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</si>
  <si>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</si>
  <si>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</si>
  <si>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</si>
  <si>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</si>
  <si>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</si>
  <si>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</si>
  <si>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</si>
  <si>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</si>
  <si>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</si>
  <si>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</si>
  <si>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</si>
  <si>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</si>
  <si>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</si>
  <si>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</si>
  <si>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</si>
  <si>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</si>
  <si>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</si>
  <si>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</si>
  <si>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</si>
  <si>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</si>
  <si>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</si>
  <si>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</si>
  <si>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</si>
  <si>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</si>
  <si>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</si>
  <si>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</si>
  <si>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</si>
  <si>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</si>
  <si>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</si>
  <si>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</si>
  <si>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</si>
  <si>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</si>
  <si>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</si>
  <si>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</si>
  <si>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</si>
  <si>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</si>
  <si>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</si>
  <si>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</si>
  <si>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</si>
  <si>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</si>
  <si>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</si>
  <si>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</si>
  <si>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</si>
  <si>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</si>
  <si>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</si>
  <si>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</si>
  <si>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</si>
  <si>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</si>
  <si>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</si>
  <si>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</si>
  <si>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</si>
  <si>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</si>
  <si>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</si>
  <si>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</si>
  <si>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</si>
  <si>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</si>
  <si>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</si>
  <si>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</si>
  <si>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</si>
  <si>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</si>
  <si>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</si>
  <si>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</si>
  <si>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</si>
  <si>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</si>
  <si>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</si>
  <si>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</si>
  <si>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</si>
  <si>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</si>
  <si>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</si>
  <si>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</si>
  <si>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</si>
  <si>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</si>
  <si>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</si>
  <si>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</si>
  <si>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</si>
  <si>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</si>
  <si>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</si>
  <si>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</si>
  <si>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</si>
  <si>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</si>
  <si>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</si>
  <si>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</si>
  <si>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</si>
  <si>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</si>
  <si>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</si>
  <si>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</si>
  <si>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</si>
  <si>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</si>
  <si>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</si>
  <si>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</si>
  <si>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</si>
  <si>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</si>
  <si>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</si>
  <si>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</si>
  <si>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</si>
  <si>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</si>
  <si>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</si>
  <si>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</si>
  <si>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</si>
  <si>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</si>
  <si>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</si>
  <si>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</si>
  <si>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</si>
  <si>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</si>
  <si>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</si>
  <si>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</si>
  <si>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</si>
  <si>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</si>
  <si>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</si>
  <si>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</si>
  <si>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</si>
  <si>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</si>
  <si>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</si>
  <si>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</si>
  <si>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</si>
  <si>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</si>
  <si>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</si>
  <si>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</si>
  <si>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</si>
  <si>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</si>
  <si>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</si>
  <si>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</si>
  <si>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</si>
  <si>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</si>
  <si>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</si>
  <si>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</si>
  <si>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</si>
  <si>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</si>
  <si>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</si>
  <si>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</si>
  <si>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</si>
  <si>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</si>
  <si>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</si>
  <si>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</si>
  <si>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</si>
  <si>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</si>
  <si>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</si>
  <si>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</si>
  <si>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</si>
  <si>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</si>
  <si>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</si>
  <si>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</si>
  <si>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</si>
  <si>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</si>
  <si>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</si>
  <si>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</si>
  <si>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</si>
  <si>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</si>
  <si>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</si>
  <si>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</si>
  <si>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</si>
  <si>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</si>
  <si>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</si>
  <si>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</si>
  <si>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</si>
  <si>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</si>
  <si>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</si>
  <si>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</si>
  <si>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</si>
  <si>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</si>
  <si>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</si>
  <si>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</si>
  <si>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</si>
  <si>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</si>
  <si>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</si>
  <si>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</si>
  <si>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</si>
  <si>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</si>
  <si>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</si>
  <si>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</si>
  <si>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</si>
  <si>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</si>
  <si>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</si>
  <si>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</si>
  <si>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</si>
  <si>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</si>
  <si>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</si>
  <si>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</si>
  <si>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</si>
  <si>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</si>
  <si>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</si>
  <si>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</si>
  <si>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</si>
  <si>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</si>
  <si>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</si>
  <si>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</si>
  <si>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</si>
  <si>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</si>
  <si>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</si>
  <si>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</si>
  <si>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</si>
  <si>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</si>
  <si>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</si>
  <si>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</si>
  <si>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</si>
  <si>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</si>
  <si>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</si>
  <si>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</si>
  <si>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</si>
  <si>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</si>
  <si>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</si>
  <si>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</si>
  <si>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</si>
  <si>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</si>
  <si>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</si>
  <si>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</si>
  <si>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</si>
  <si>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</si>
  <si>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</si>
  <si>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</si>
  <si>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</si>
  <si>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</si>
  <si>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</si>
  <si>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</si>
  <si>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</si>
  <si>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</si>
  <si>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</si>
  <si>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</si>
  <si>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</si>
  <si>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</si>
  <si>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</si>
  <si>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</si>
  <si>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</si>
  <si>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</si>
  <si>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</si>
  <si>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</si>
  <si>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</si>
  <si>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</si>
  <si>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</si>
  <si>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</si>
  <si>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</si>
  <si>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</si>
  <si>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</si>
  <si>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</si>
  <si>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</si>
  <si>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</si>
  <si>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</si>
  <si>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</si>
  <si>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</si>
  <si>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</si>
  <si>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</si>
  <si>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</si>
  <si>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</si>
  <si>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</si>
  <si>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</si>
  <si>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</si>
  <si>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</si>
  <si>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</si>
  <si>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</si>
  <si>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</si>
  <si>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</si>
  <si>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</si>
  <si>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</si>
  <si>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</si>
  <si>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</si>
  <si>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</si>
  <si>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</si>
  <si>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</si>
  <si>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</si>
  <si>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</si>
  <si>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</si>
  <si>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</si>
  <si>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</si>
  <si>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</si>
  <si>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</si>
  <si>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</si>
  <si>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</si>
  <si>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</si>
  <si>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</si>
  <si>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</si>
  <si>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</si>
  <si>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</si>
  <si>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</si>
  <si>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</si>
  <si>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</si>
  <si>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</si>
  <si>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</si>
  <si>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</si>
  <si>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</si>
  <si>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</si>
  <si>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</si>
  <si>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</si>
  <si>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</si>
  <si>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</si>
  <si>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</si>
  <si>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</si>
  <si>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</si>
  <si>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</si>
  <si>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</si>
  <si>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</si>
  <si>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</si>
  <si>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</si>
  <si>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</si>
  <si>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</si>
  <si>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</si>
  <si>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</si>
  <si>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</si>
  <si>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</si>
  <si>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</si>
  <si>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</si>
  <si>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</si>
  <si>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</si>
  <si>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</si>
  <si>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</si>
  <si>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</si>
  <si>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</si>
  <si>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</si>
  <si>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</si>
  <si>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</si>
  <si>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</si>
  <si>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</si>
  <si>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</si>
  <si>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</si>
  <si>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</si>
  <si>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</si>
  <si>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</si>
  <si>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</si>
  <si>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</si>
  <si>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</si>
  <si>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</si>
  <si>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</si>
  <si>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</si>
  <si>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</si>
  <si>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</si>
  <si>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</si>
  <si>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</si>
  <si>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</si>
  <si>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</si>
  <si>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</si>
  <si>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</si>
  <si>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</si>
  <si>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</si>
  <si>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</si>
  <si>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</si>
  <si>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</si>
  <si>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</si>
  <si>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</si>
  <si>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</si>
  <si>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</si>
  <si>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</si>
  <si>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</si>
  <si>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</si>
  <si>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</si>
  <si>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</si>
  <si>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</si>
  <si>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</si>
  <si>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</si>
  <si>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</si>
  <si>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</si>
  <si>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</si>
  <si>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</si>
  <si>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</si>
  <si>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</si>
  <si>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</si>
  <si>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</si>
  <si>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</si>
  <si>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</si>
  <si>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</si>
  <si>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</si>
  <si>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</si>
  <si>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</si>
  <si>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</si>
  <si>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</si>
  <si>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</si>
  <si>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</si>
  <si>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</si>
  <si>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</si>
  <si>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</si>
  <si>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</si>
  <si>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</si>
  <si>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</si>
  <si>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</si>
  <si>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</si>
  <si>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</si>
  <si>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</si>
  <si>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</si>
  <si>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</si>
  <si>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</si>
  <si>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</si>
  <si>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</si>
  <si>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</si>
  <si>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</si>
  <si>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</si>
  <si>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</si>
  <si>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</si>
  <si>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</si>
  <si>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</si>
  <si>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</si>
  <si>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</si>
  <si>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</si>
  <si>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</si>
  <si>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</si>
  <si>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</si>
  <si>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</si>
  <si>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</si>
  <si>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</si>
  <si>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</si>
  <si>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</si>
  <si>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</si>
  <si>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</si>
  <si>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</si>
  <si>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</si>
  <si>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</si>
  <si>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</si>
  <si>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</si>
  <si>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</si>
  <si>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</si>
  <si>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</si>
  <si>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</si>
  <si>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</si>
  <si>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</si>
  <si>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</si>
  <si>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</si>
  <si>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</si>
  <si>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</si>
  <si>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</si>
  <si>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</si>
  <si>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</si>
  <si>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</si>
  <si>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</si>
  <si>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</si>
  <si>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</si>
  <si>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</si>
  <si>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</si>
  <si>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</si>
  <si>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</si>
  <si>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</si>
  <si>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</si>
  <si>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</si>
  <si>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</si>
  <si>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</si>
  <si>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</si>
  <si>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</si>
  <si>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</si>
  <si>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</si>
  <si>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</si>
  <si>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</si>
  <si>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</si>
  <si>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</si>
  <si>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</si>
  <si>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</si>
  <si>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</si>
  <si>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</si>
  <si>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</si>
  <si>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</si>
  <si>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</si>
  <si>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</si>
  <si>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</si>
  <si>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</si>
  <si>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</si>
  <si>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</si>
  <si>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</si>
  <si>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</si>
  <si>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</si>
  <si>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</si>
  <si>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</si>
  <si>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</si>
  <si>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</si>
  <si>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</si>
  <si>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</si>
  <si>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</si>
  <si>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</si>
  <si>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</si>
  <si>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</si>
  <si>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</si>
  <si>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</si>
  <si>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</si>
  <si>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</si>
  <si>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</si>
  <si>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</si>
  <si>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</si>
  <si>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</si>
  <si>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</si>
  <si>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</si>
  <si>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</si>
  <si>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</si>
  <si>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</si>
  <si>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</si>
  <si>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</si>
  <si>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</si>
  <si>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</si>
  <si>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</si>
  <si>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</si>
  <si>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</si>
  <si>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</si>
  <si>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</si>
  <si>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</si>
  <si>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</si>
  <si>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</si>
  <si>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</si>
  <si>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</si>
  <si>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</si>
  <si>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</si>
  <si>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</si>
  <si>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</si>
  <si>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</si>
  <si>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</si>
  <si>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</si>
  <si>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</si>
  <si>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</si>
  <si>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</si>
  <si>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</si>
  <si>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</si>
  <si>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</si>
  <si>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</si>
  <si>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</si>
  <si>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</si>
  <si>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</si>
  <si>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</si>
  <si>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</si>
  <si>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</si>
  <si>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</si>
  <si>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</si>
  <si>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</si>
  <si>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</si>
  <si>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</si>
  <si>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</si>
  <si>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</si>
  <si>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</si>
  <si>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</si>
  <si>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</si>
  <si>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</si>
  <si>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</si>
  <si>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</si>
  <si>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</si>
  <si>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</si>
  <si>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</si>
  <si>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</si>
  <si>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</si>
  <si>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</si>
  <si>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</si>
  <si>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</si>
  <si>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</si>
  <si>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</si>
  <si>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</si>
  <si>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</si>
  <si>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</si>
  <si>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</si>
  <si>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</si>
  <si>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</si>
  <si>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</si>
  <si>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</si>
  <si>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</si>
  <si>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</si>
  <si>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</si>
  <si>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</si>
  <si>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</si>
  <si>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</si>
  <si>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</si>
  <si>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</si>
  <si>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</si>
  <si>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</si>
  <si>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</si>
  <si>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</si>
  <si>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</si>
  <si>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</si>
  <si>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</si>
  <si>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</si>
  <si>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</si>
  <si>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</si>
  <si>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</si>
  <si>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</si>
  <si>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</si>
  <si>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</si>
  <si>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</si>
  <si>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</si>
  <si>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</si>
  <si>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</si>
  <si>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</si>
  <si>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</si>
  <si>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</si>
  <si>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</si>
  <si>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</si>
  <si>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</si>
  <si>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</si>
  <si>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</si>
  <si>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</si>
  <si>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</si>
  <si>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</si>
  <si>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</si>
  <si>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</si>
  <si>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</si>
  <si>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</si>
  <si>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</si>
  <si>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</si>
  <si>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</si>
  <si>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</si>
  <si>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</si>
  <si>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</si>
  <si>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</si>
  <si>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</si>
  <si>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</si>
  <si>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</si>
  <si>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</si>
  <si>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</si>
  <si>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</si>
  <si>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</si>
  <si>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</si>
  <si>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</si>
  <si>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</si>
  <si>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</si>
  <si>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</si>
  <si>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</si>
  <si>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</si>
  <si>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</si>
  <si>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</si>
  <si>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</si>
  <si>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</si>
  <si>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</si>
  <si>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</si>
  <si>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</si>
  <si>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</si>
  <si>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</si>
  <si>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</si>
  <si>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</si>
  <si>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</si>
  <si>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</si>
  <si>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</si>
  <si>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</si>
  <si>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</si>
  <si>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</si>
  <si>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</si>
  <si>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</si>
  <si>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</si>
  <si>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</si>
  <si>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</si>
  <si>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</si>
  <si>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</si>
  <si>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</si>
  <si>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</si>
  <si>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</si>
  <si>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</si>
  <si>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</si>
  <si>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</si>
  <si>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</si>
  <si>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</si>
  <si>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</si>
  <si>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</si>
  <si>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</si>
  <si>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</si>
  <si>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</si>
  <si>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</si>
  <si>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</si>
  <si>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</si>
  <si>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</si>
  <si>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</si>
  <si>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</si>
  <si>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</si>
  <si>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</si>
  <si>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</si>
  <si>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</si>
  <si>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</si>
  <si>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</si>
  <si>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</si>
  <si>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</si>
  <si>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</si>
  <si>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</si>
  <si>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</si>
  <si>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</si>
  <si>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</si>
  <si>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</si>
  <si>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</si>
  <si>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</si>
  <si>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</si>
  <si>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</si>
  <si>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</si>
  <si>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</si>
  <si>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</si>
  <si>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</si>
  <si>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</si>
  <si>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</si>
  <si>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</si>
  <si>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</si>
  <si>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</si>
  <si>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</si>
  <si>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</si>
  <si>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</si>
  <si>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</si>
  <si>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</si>
  <si>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</si>
  <si>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</si>
  <si>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</si>
  <si>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</si>
  <si>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</si>
  <si>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</si>
  <si>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</si>
  <si>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</si>
  <si>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</si>
  <si>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</si>
  <si>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</si>
  <si>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</si>
  <si>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</si>
  <si>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</si>
  <si>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</si>
  <si>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</si>
  <si>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</si>
  <si>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</si>
  <si>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</si>
  <si>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</si>
  <si>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</si>
  <si>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</si>
  <si>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</si>
  <si>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</si>
  <si>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</si>
  <si>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</si>
  <si>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</si>
  <si>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</si>
  <si>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</si>
  <si>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</si>
  <si>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</si>
  <si>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</si>
  <si>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</si>
  <si>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</si>
  <si>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</si>
  <si>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</si>
  <si>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</si>
  <si>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</si>
  <si>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</si>
  <si>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</si>
  <si>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</si>
  <si>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</si>
  <si>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</si>
  <si>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</si>
  <si>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</si>
  <si>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</si>
  <si>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</si>
  <si>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</si>
  <si>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</si>
  <si>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</si>
  <si>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</si>
  <si>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</si>
  <si>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</si>
  <si>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</si>
  <si>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</si>
  <si>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</si>
  <si>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</si>
  <si>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</si>
  <si>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</si>
  <si>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</si>
  <si>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</si>
  <si>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</si>
  <si>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</si>
  <si>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</si>
  <si>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</si>
  <si>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</si>
  <si>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</si>
  <si>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</si>
  <si>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</si>
  <si>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</si>
  <si>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</si>
  <si>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</si>
  <si>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</si>
  <si>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</si>
  <si>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</si>
  <si>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</si>
  <si>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</si>
  <si>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</si>
  <si>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</si>
  <si>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</si>
  <si>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</si>
  <si>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</si>
  <si>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</si>
  <si>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</si>
  <si>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</si>
  <si>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</si>
  <si>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</si>
  <si>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</si>
  <si>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</si>
  <si>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</si>
  <si>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</si>
  <si>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</si>
  <si>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</si>
  <si>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</si>
  <si>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</si>
  <si>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</si>
  <si>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</si>
  <si>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</si>
  <si>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</si>
  <si>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</si>
  <si>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</si>
  <si>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</si>
  <si>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</si>
  <si>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</si>
  <si>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</si>
  <si>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</si>
  <si>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</si>
  <si>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</si>
  <si>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</si>
  <si>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</si>
  <si>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</si>
  <si>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</si>
  <si>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</si>
  <si>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</si>
  <si>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</si>
  <si>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</si>
  <si>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</si>
  <si>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</si>
  <si>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</si>
  <si>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</si>
  <si>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</si>
  <si>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</si>
  <si>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</si>
  <si>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</si>
  <si>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</si>
  <si>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</si>
  <si>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</si>
  <si>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</si>
  <si>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</si>
  <si>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</si>
  <si>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</si>
  <si>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</si>
  <si>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</si>
  <si>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</si>
  <si>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</si>
  <si>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</si>
  <si>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</si>
  <si>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</si>
  <si>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</si>
  <si>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</si>
  <si>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</si>
  <si>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</si>
  <si>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</si>
  <si>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</si>
  <si>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</si>
  <si>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</si>
  <si>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</si>
  <si>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</si>
  <si>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</si>
  <si>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</si>
  <si>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</si>
  <si>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</si>
  <si>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</si>
  <si>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</si>
  <si>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</si>
  <si>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</si>
  <si>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</si>
  <si>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</si>
  <si>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</si>
  <si>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</si>
  <si>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</si>
  <si>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</si>
  <si>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</si>
  <si>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</si>
  <si>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</si>
  <si>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</si>
  <si>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</si>
  <si>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</si>
  <si>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</si>
  <si>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</si>
  <si>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</si>
  <si>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</si>
  <si>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</si>
  <si>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</si>
  <si>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</si>
  <si>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</si>
  <si>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</si>
  <si>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</si>
  <si>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</si>
  <si>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</si>
  <si>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</si>
  <si>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</si>
  <si>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</si>
  <si>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</si>
  <si>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</si>
  <si>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</si>
  <si>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</si>
  <si>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</si>
  <si>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</si>
  <si>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</si>
  <si>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</si>
  <si>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</si>
  <si>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</si>
  <si>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</si>
  <si>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</si>
  <si>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</si>
  <si>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</si>
  <si>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</si>
  <si>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</si>
  <si>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</si>
  <si>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</si>
  <si>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</si>
  <si>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</si>
  <si>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</si>
  <si>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</si>
  <si>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</si>
  <si>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</si>
  <si>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</si>
  <si>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</si>
  <si>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</si>
  <si>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</si>
  <si>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</si>
  <si>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</si>
  <si>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</si>
  <si>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</si>
  <si>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</si>
  <si>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</si>
  <si>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</si>
  <si>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</si>
  <si>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</si>
  <si>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</si>
  <si>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</si>
  <si>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</si>
  <si>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</si>
  <si>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</si>
  <si>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</si>
  <si>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</si>
  <si>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</si>
  <si>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</si>
  <si>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</si>
  <si>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</si>
  <si>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</si>
  <si>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</si>
  <si>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</si>
  <si>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</si>
  <si>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</si>
  <si>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</si>
  <si>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</si>
  <si>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</si>
  <si>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</si>
  <si>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</si>
  <si>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</si>
  <si>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</si>
  <si>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</si>
  <si>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</si>
  <si>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</si>
  <si>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</si>
  <si>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</si>
  <si>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</si>
  <si>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</si>
  <si>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</si>
  <si>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</si>
  <si>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</si>
  <si>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</si>
  <si>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</si>
  <si>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</si>
  <si>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</si>
  <si>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</si>
  <si>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</si>
  <si>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</si>
  <si>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</si>
  <si>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</si>
  <si>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</si>
  <si>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</si>
  <si>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</si>
  <si>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</si>
  <si>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</si>
  <si>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</si>
  <si>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</si>
  <si>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</si>
  <si>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</si>
  <si>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</si>
  <si>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</si>
  <si>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</si>
  <si>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</si>
  <si>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</si>
  <si>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</si>
  <si>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</si>
  <si>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</si>
  <si>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</si>
  <si>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</si>
  <si>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</si>
  <si>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</si>
  <si>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</si>
  <si>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</si>
  <si>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</si>
  <si>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</si>
  <si>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</si>
  <si>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</si>
  <si>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</si>
  <si>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</si>
  <si>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</si>
  <si>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</si>
  <si>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</si>
  <si>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</si>
  <si>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</si>
  <si>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</si>
  <si>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</si>
  <si>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</si>
  <si>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</si>
  <si>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</si>
  <si>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</si>
  <si>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</si>
  <si>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</si>
  <si>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</si>
  <si>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</si>
  <si>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</si>
  <si>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</si>
  <si>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</si>
  <si>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</si>
  <si>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</si>
  <si>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</si>
  <si>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</si>
  <si>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</si>
  <si>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</si>
  <si>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</si>
  <si>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</si>
  <si>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</si>
  <si>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</si>
  <si>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</si>
  <si>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</si>
  <si>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</si>
  <si>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</si>
  <si>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</si>
  <si>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</si>
  <si>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</si>
  <si>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</si>
  <si>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</si>
  <si>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</si>
  <si>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</si>
  <si>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</si>
  <si>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</si>
  <si>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</si>
  <si>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</si>
  <si>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</si>
  <si>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</si>
  <si>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</si>
  <si>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</si>
  <si>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</si>
  <si>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</si>
  <si>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</si>
  <si>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</si>
  <si>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</si>
  <si>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</si>
  <si>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</si>
  <si>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</si>
  <si>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</si>
  <si>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</si>
  <si>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</si>
  <si>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</si>
  <si>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</si>
  <si>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</si>
  <si>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</si>
  <si>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</si>
  <si>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</si>
  <si>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</si>
  <si>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</si>
  <si>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</si>
  <si>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</si>
  <si>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</si>
  <si>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</si>
  <si>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</si>
  <si>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</si>
  <si>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</si>
  <si>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</si>
  <si>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</si>
  <si>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</si>
  <si>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</si>
  <si>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</si>
  <si>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</si>
  <si>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</si>
  <si>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</si>
  <si>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</si>
  <si>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</si>
  <si>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</si>
  <si>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</si>
  <si>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</si>
  <si>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</si>
  <si>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</si>
  <si>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</si>
  <si>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</si>
  <si>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</si>
  <si>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</si>
  <si>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</si>
  <si>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</si>
  <si>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</si>
  <si>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</si>
  <si>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</si>
  <si>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</si>
  <si>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</si>
  <si>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</si>
  <si>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</si>
  <si>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</si>
  <si>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</si>
  <si>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</si>
  <si>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</si>
  <si>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</si>
  <si>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</si>
  <si>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</si>
  <si>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</si>
  <si>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</si>
  <si>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</si>
  <si>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</si>
  <si>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</si>
  <si>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</si>
  <si>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</si>
  <si>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</si>
  <si>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</si>
  <si>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</si>
  <si>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</si>
  <si>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</si>
  <si>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</si>
  <si>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</si>
  <si>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</si>
  <si>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</si>
  <si>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</si>
  <si>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</si>
  <si>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</si>
  <si>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</si>
  <si>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</si>
  <si>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</si>
  <si>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</si>
  <si>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</si>
  <si>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</si>
  <si>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</si>
  <si>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</si>
  <si>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</si>
  <si>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</si>
  <si>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</si>
  <si>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</si>
  <si>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</si>
  <si>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</si>
  <si>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</si>
  <si>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</si>
  <si>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</si>
  <si>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</si>
  <si>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</si>
  <si>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</si>
  <si>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</si>
  <si>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</si>
  <si>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</si>
  <si>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</si>
  <si>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</si>
  <si>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</si>
  <si>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</si>
  <si>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</si>
  <si>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</si>
  <si>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</si>
  <si>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</si>
  <si>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</si>
  <si>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</si>
  <si>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</si>
  <si>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</si>
  <si>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</si>
  <si>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</si>
  <si>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</si>
  <si>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</si>
  <si>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</si>
  <si>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</si>
  <si>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</si>
  <si>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</si>
  <si>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</si>
  <si>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</si>
  <si>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</si>
  <si>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</si>
  <si>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</si>
  <si>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</si>
  <si>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</si>
  <si>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</si>
  <si>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</si>
  <si>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</si>
  <si>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</si>
  <si>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</si>
  <si>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</si>
  <si>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</si>
  <si>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</si>
  <si>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</si>
  <si>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</si>
  <si>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</si>
  <si>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</si>
  <si>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</si>
  <si>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</si>
  <si>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</si>
  <si>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</si>
  <si>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</si>
  <si>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</si>
  <si>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</si>
  <si>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</si>
  <si>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</si>
  <si>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</si>
  <si>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</si>
  <si>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</si>
  <si>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</si>
  <si>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</si>
  <si>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</si>
  <si>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</si>
  <si>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</si>
  <si>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</si>
  <si>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</si>
  <si>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</si>
  <si>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</si>
  <si>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</si>
  <si>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</si>
  <si>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</si>
  <si>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</si>
  <si>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</si>
  <si>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</si>
  <si>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</si>
  <si>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</si>
  <si>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</si>
  <si>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</si>
  <si>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</si>
  <si>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</si>
  <si>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</si>
  <si>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</si>
  <si>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</si>
  <si>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</si>
  <si>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</si>
  <si>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</si>
  <si>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</si>
  <si>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</si>
  <si>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</si>
  <si>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</si>
  <si>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</si>
  <si>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</si>
  <si>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</si>
  <si>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</si>
  <si>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</si>
  <si>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</si>
  <si>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</si>
  <si>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</si>
  <si>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</si>
  <si>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</si>
  <si>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</si>
  <si>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</si>
  <si>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</si>
  <si>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</si>
  <si>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</si>
  <si>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</si>
  <si>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</si>
  <si>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</si>
  <si>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</si>
  <si>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</si>
  <si>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</si>
  <si>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</si>
  <si>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</si>
  <si>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</si>
  <si>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</si>
  <si>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</si>
  <si>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</si>
  <si>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</si>
  <si>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</si>
  <si>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</si>
  <si>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</si>
  <si>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</si>
  <si>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</si>
  <si>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</si>
  <si>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</si>
  <si>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</si>
  <si>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</si>
  <si>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</si>
  <si>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</si>
  <si>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</si>
  <si>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</si>
  <si>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</si>
  <si>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</si>
  <si>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</si>
  <si>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</si>
  <si>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</si>
  <si>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</si>
  <si>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</si>
  <si>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</si>
  <si>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</si>
  <si>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</si>
  <si>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</si>
  <si>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</si>
  <si>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</si>
  <si>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</si>
  <si>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</si>
  <si>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</si>
  <si>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</si>
  <si>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</si>
  <si>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</si>
  <si>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</si>
  <si>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</si>
  <si>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</si>
  <si>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</si>
  <si>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</si>
  <si>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</si>
  <si>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</si>
  <si>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</si>
  <si>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</si>
  <si>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</si>
  <si>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</si>
  <si>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</si>
  <si>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</si>
  <si>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</si>
  <si>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</si>
  <si>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</si>
  <si>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</si>
  <si>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</si>
  <si>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</si>
  <si>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</si>
  <si>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</si>
  <si>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</si>
  <si>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</si>
  <si>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</si>
  <si>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</si>
  <si>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</si>
  <si>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</si>
  <si>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</si>
  <si>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</si>
  <si>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</si>
  <si>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</si>
  <si>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</si>
  <si>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</si>
  <si>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</si>
  <si>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</si>
  <si>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</si>
  <si>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</si>
  <si>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</si>
  <si>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</si>
  <si>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</si>
  <si>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</si>
  <si>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</si>
  <si>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</si>
  <si>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</si>
  <si>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</si>
  <si>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</si>
  <si>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</si>
  <si>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</si>
  <si>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</si>
  <si>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</si>
  <si>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</si>
  <si>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</si>
  <si>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</si>
  <si>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</si>
  <si>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</si>
  <si>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</si>
  <si>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</si>
  <si>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</si>
  <si>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</si>
  <si>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</si>
  <si>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</si>
  <si>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</si>
  <si>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</si>
  <si>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</si>
  <si>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</si>
  <si>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</si>
  <si>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</si>
  <si>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</si>
  <si>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</si>
  <si>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</si>
  <si>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</si>
  <si>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</si>
  <si>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</si>
  <si>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</si>
  <si>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</si>
  <si>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</si>
  <si>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</si>
  <si>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</si>
  <si>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</si>
  <si>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</si>
  <si>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</si>
  <si>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</si>
  <si>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</si>
  <si>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</si>
  <si>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</si>
  <si>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</si>
  <si>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</si>
  <si>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</si>
  <si>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</si>
  <si>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</si>
  <si>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</si>
  <si>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</si>
  <si>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</si>
  <si>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</si>
  <si>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</si>
  <si>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</si>
  <si>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</si>
  <si>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</si>
  <si>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</si>
  <si>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</si>
  <si>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</si>
  <si>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</si>
  <si>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</si>
  <si>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</si>
  <si>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</si>
  <si>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</si>
  <si>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</si>
  <si>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</si>
  <si>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</si>
  <si>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</si>
  <si>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</si>
  <si>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</si>
  <si>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</si>
  <si>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</si>
  <si>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</si>
  <si>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</si>
  <si>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</si>
  <si>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</si>
  <si>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</si>
  <si>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</si>
  <si>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</si>
  <si>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</si>
  <si>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</si>
  <si>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</si>
  <si>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</si>
  <si>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</si>
  <si>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</si>
  <si>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</si>
  <si>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</si>
  <si>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</si>
  <si>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</si>
  <si>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</si>
  <si>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</si>
  <si>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</si>
  <si>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</si>
  <si>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</si>
  <si>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</si>
  <si>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</si>
  <si>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</si>
  <si>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</si>
  <si>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</si>
  <si>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</si>
  <si>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</si>
  <si>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</si>
  <si>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</si>
  <si>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</si>
  <si>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</si>
  <si>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</si>
  <si>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</si>
  <si>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</si>
  <si>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</si>
  <si>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</si>
  <si>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</si>
  <si>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</si>
  <si>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</si>
  <si>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</si>
  <si>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</si>
  <si>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</si>
  <si>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</si>
  <si>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</si>
  <si>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</si>
  <si>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</si>
  <si>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</si>
  <si>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</si>
  <si>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</si>
  <si>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</si>
  <si>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</si>
  <si>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</si>
  <si>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</si>
  <si>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</si>
  <si>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</si>
  <si>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</si>
  <si>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</si>
  <si>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</si>
  <si>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</si>
  <si>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</si>
  <si>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</si>
  <si>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</si>
  <si>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</si>
  <si>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</si>
  <si>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</si>
  <si>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</si>
  <si>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</si>
  <si>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</si>
  <si>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</si>
  <si>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</si>
  <si>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</si>
  <si>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</si>
  <si>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</si>
  <si>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</si>
  <si>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</si>
  <si>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</si>
  <si>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</si>
  <si>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</si>
  <si>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</si>
  <si>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</si>
  <si>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</si>
  <si>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</si>
  <si>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</si>
  <si>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</si>
  <si>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</si>
  <si>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</si>
  <si>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</si>
  <si>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</si>
  <si>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</si>
  <si>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</si>
  <si>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</si>
  <si>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</si>
  <si>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</si>
  <si>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</si>
  <si>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</si>
  <si>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</si>
  <si>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</si>
  <si>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</si>
  <si>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</si>
  <si>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</si>
  <si>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</si>
  <si>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</si>
  <si>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</si>
  <si>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</si>
  <si>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</si>
  <si>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</si>
  <si>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</si>
  <si>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</si>
  <si>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</si>
  <si>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</si>
  <si>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</si>
  <si>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</si>
  <si>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</si>
  <si>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</si>
  <si>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</si>
  <si>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</si>
  <si>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</si>
  <si>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</si>
  <si>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</si>
  <si>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</si>
  <si>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</si>
  <si>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</si>
  <si>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</si>
  <si>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</si>
  <si>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</si>
  <si>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</si>
  <si>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</si>
  <si>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</si>
  <si>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</si>
  <si>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</si>
  <si>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</si>
  <si>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</si>
  <si>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</si>
  <si>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</si>
  <si>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</si>
  <si>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</si>
  <si>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</si>
  <si>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</si>
  <si>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</si>
  <si>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</si>
  <si>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</si>
  <si>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</si>
  <si>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</si>
  <si>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</si>
  <si>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</si>
  <si>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</si>
  <si>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</si>
  <si>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</si>
  <si>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</si>
  <si>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</si>
  <si>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</si>
  <si>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</si>
  <si>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</si>
  <si>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</si>
  <si>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</si>
  <si>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</si>
  <si>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</si>
  <si>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</si>
  <si>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</si>
  <si>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</si>
  <si>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</si>
  <si>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</si>
  <si>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</si>
  <si>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</si>
  <si>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</si>
  <si>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</si>
  <si>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</si>
  <si>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</si>
  <si>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</si>
  <si>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</si>
  <si>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</si>
  <si>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</si>
  <si>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</si>
  <si>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</si>
  <si>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</si>
  <si>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</si>
  <si>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</si>
  <si>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</si>
  <si>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</si>
  <si>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</si>
  <si>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</si>
  <si>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</si>
  <si>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</si>
  <si>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</si>
  <si>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</si>
  <si>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</si>
  <si>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</si>
  <si>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</si>
  <si>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</si>
  <si>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</si>
  <si>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</si>
  <si>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</si>
  <si>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</si>
  <si>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</si>
  <si>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</si>
  <si>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</si>
  <si>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</si>
  <si>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</si>
  <si>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</si>
  <si>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</si>
  <si>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</si>
  <si>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</si>
  <si>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</si>
  <si>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</si>
  <si>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</si>
  <si>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</si>
  <si>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</si>
  <si>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</si>
  <si>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</si>
  <si>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</si>
  <si>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</si>
  <si>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</si>
  <si>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</si>
  <si>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</si>
  <si>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</si>
  <si>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</si>
  <si>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</si>
  <si>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</si>
  <si>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</si>
  <si>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</si>
  <si>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</si>
  <si>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</si>
  <si>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</si>
  <si>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</si>
  <si>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</si>
  <si>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</si>
  <si>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</si>
  <si>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</si>
  <si>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</si>
  <si>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</si>
  <si>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</si>
  <si>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</si>
  <si>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</si>
  <si>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</si>
  <si>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</si>
  <si>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</si>
  <si>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</si>
  <si>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</si>
  <si>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</si>
  <si>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</si>
  <si>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</si>
  <si>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</si>
  <si>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</si>
  <si>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</si>
  <si>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</si>
  <si>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</si>
  <si>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</si>
  <si>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</si>
  <si>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</si>
  <si>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</si>
  <si>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</si>
  <si>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</si>
  <si>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</si>
  <si>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</si>
  <si>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</si>
  <si>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</si>
  <si>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</si>
  <si>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</si>
  <si>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</si>
  <si>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</si>
  <si>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</si>
  <si>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</si>
  <si>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</si>
  <si>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</si>
  <si>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</si>
  <si>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</si>
  <si>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</si>
  <si>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</si>
  <si>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</si>
  <si>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</si>
  <si>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</si>
  <si>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</si>
  <si>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</si>
  <si>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</si>
  <si>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</si>
  <si>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</si>
  <si>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</si>
  <si>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</si>
  <si>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</si>
  <si>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</si>
  <si>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</si>
  <si>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</si>
  <si>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</si>
  <si>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</si>
  <si>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</si>
  <si>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</si>
  <si>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</si>
  <si>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</si>
  <si>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</si>
  <si>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</si>
  <si>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</si>
  <si>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</si>
  <si>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</si>
  <si>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</si>
  <si>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</si>
  <si>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</si>
  <si>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</si>
  <si>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</si>
  <si>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</si>
  <si>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</si>
  <si>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</si>
  <si>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</si>
  <si>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</si>
  <si>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</si>
  <si>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</si>
  <si>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</si>
  <si>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</si>
  <si>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</si>
  <si>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</si>
  <si>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</si>
  <si>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</si>
  <si>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</si>
  <si>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</si>
  <si>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</si>
  <si>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</si>
  <si>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</si>
  <si>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</si>
  <si>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</si>
  <si>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</si>
  <si>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</si>
  <si>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</si>
  <si>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</si>
  <si>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</si>
  <si>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</si>
  <si>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</si>
  <si>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</si>
  <si>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</si>
  <si>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</si>
  <si>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</si>
  <si>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</si>
  <si>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</si>
  <si>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</si>
  <si>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</si>
  <si>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</si>
  <si>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</si>
  <si>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</si>
  <si>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</si>
  <si>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</si>
  <si>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</si>
  <si>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</si>
  <si>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</si>
  <si>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</si>
  <si>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</si>
  <si>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</si>
  <si>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</si>
  <si>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</si>
  <si>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</si>
  <si>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</si>
  <si>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</si>
  <si>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</si>
  <si>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</si>
  <si>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</si>
  <si>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</si>
  <si>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</si>
  <si>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</si>
  <si>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</si>
  <si>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</si>
  <si>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</si>
  <si>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</si>
  <si>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</si>
  <si>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</si>
  <si>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</si>
  <si>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</si>
  <si>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</si>
  <si>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</si>
  <si>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</si>
  <si>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</si>
  <si>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</si>
  <si>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</si>
  <si>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</si>
  <si>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</si>
  <si>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</si>
  <si>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</si>
  <si>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</si>
  <si>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</si>
  <si>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</si>
  <si>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</si>
  <si>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</si>
  <si>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</si>
  <si>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</si>
  <si>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</si>
  <si>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</si>
  <si>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</si>
  <si>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</si>
  <si>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</si>
  <si>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</si>
  <si>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</si>
  <si>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</si>
  <si>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</si>
  <si>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</si>
  <si>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</si>
  <si>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</si>
  <si>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</si>
  <si>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</si>
  <si>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</si>
  <si>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</si>
  <si>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</si>
  <si>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</si>
  <si>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</si>
  <si>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</si>
  <si>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</si>
  <si>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</si>
  <si>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</si>
  <si>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</si>
  <si>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</si>
  <si>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</si>
  <si>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</si>
  <si>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</si>
  <si>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</si>
  <si>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</si>
  <si>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</si>
  <si>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</si>
  <si>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</si>
  <si>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</si>
  <si>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</si>
  <si>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</si>
  <si>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</si>
  <si>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</si>
  <si>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</si>
  <si>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</si>
  <si>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</si>
  <si>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</si>
  <si>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</si>
  <si>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</si>
  <si>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</si>
  <si>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</si>
  <si>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</si>
  <si>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</si>
  <si>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</si>
  <si>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</si>
  <si>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</si>
  <si>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</si>
  <si>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</si>
  <si>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</si>
  <si>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</si>
  <si>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</si>
  <si>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</si>
  <si>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</si>
  <si>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</si>
  <si>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</si>
  <si>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</si>
  <si>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</si>
  <si>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</si>
  <si>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</si>
  <si>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</si>
  <si>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</si>
  <si>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</si>
  <si>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</si>
  <si>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</si>
  <si>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</si>
  <si>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</si>
  <si>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</si>
  <si>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</si>
  <si>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</si>
  <si>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</si>
  <si>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</si>
  <si>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</si>
  <si>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</si>
  <si>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</si>
  <si>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</si>
  <si>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</si>
  <si>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</si>
  <si>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</si>
  <si>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</si>
  <si>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</si>
  <si>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</si>
  <si>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</si>
  <si>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</si>
  <si>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</si>
  <si>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</si>
  <si>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</si>
  <si>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</si>
  <si>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</si>
  <si>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</si>
  <si>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</si>
  <si>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</si>
  <si>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</si>
  <si>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</si>
  <si>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</si>
  <si>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</si>
  <si>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</si>
  <si>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</si>
  <si>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</si>
  <si>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</si>
  <si>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</si>
  <si>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</si>
  <si>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</si>
  <si>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</si>
  <si>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</si>
  <si>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</si>
  <si>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</si>
  <si>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</si>
  <si>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</si>
  <si>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</si>
  <si>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</si>
  <si>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</si>
  <si>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</si>
  <si>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</si>
  <si>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</si>
  <si>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</si>
  <si>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</si>
  <si>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</si>
  <si>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</si>
  <si>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</si>
  <si>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</si>
  <si>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</si>
  <si>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</si>
  <si>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</si>
  <si>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</si>
  <si>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</si>
  <si>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</si>
  <si>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</si>
  <si>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</si>
  <si>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</si>
  <si>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</si>
  <si>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</si>
  <si>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</si>
  <si>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</si>
  <si>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</si>
  <si>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</si>
  <si>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</si>
  <si>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</si>
  <si>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</si>
  <si>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</si>
  <si>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</si>
  <si>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</si>
  <si>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</si>
  <si>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</si>
  <si>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</si>
  <si>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</si>
  <si>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</si>
  <si>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</si>
  <si>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</si>
  <si>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</si>
  <si>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</si>
  <si>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</si>
  <si>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</si>
  <si>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</si>
  <si>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</si>
  <si>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</si>
  <si>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</si>
  <si>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</si>
  <si>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</si>
  <si>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</si>
  <si>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</si>
  <si>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</si>
  <si>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</si>
  <si>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</si>
  <si>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</si>
  <si>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</si>
  <si>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</si>
  <si>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</si>
  <si>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</si>
  <si>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</si>
  <si>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</si>
  <si>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</si>
  <si>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</si>
  <si>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</si>
  <si>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</si>
  <si>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</si>
  <si>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</si>
  <si>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</si>
  <si>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</si>
  <si>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</si>
  <si>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</si>
  <si>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</si>
  <si>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</si>
  <si>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</si>
  <si>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</si>
  <si>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</si>
  <si>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</si>
  <si>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</si>
  <si>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</si>
  <si>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</si>
  <si>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</si>
  <si>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</si>
  <si>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</si>
  <si>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</si>
  <si>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</si>
  <si>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</si>
  <si>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</si>
  <si>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</si>
  <si>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</si>
  <si>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</si>
  <si>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</si>
  <si>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</si>
  <si>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</si>
  <si>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</si>
  <si>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</si>
  <si>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</si>
  <si>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</si>
  <si>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</si>
  <si>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</si>
  <si>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</si>
  <si>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</si>
  <si>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</si>
  <si>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</si>
  <si>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</si>
  <si>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</si>
  <si>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</si>
  <si>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</si>
  <si>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</si>
  <si>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</si>
  <si>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</si>
  <si>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</si>
  <si>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</si>
  <si>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</si>
  <si>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</si>
  <si>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</si>
  <si>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</si>
  <si>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</si>
  <si>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</si>
  <si>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</si>
  <si>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</si>
  <si>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</si>
  <si>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</si>
  <si>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</si>
  <si>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</si>
  <si>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</si>
  <si>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</si>
  <si>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</si>
  <si>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</si>
  <si>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</si>
  <si>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</si>
  <si>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</si>
  <si>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</si>
  <si>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</si>
  <si>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</si>
  <si>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</si>
  <si>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</si>
  <si>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</si>
  <si>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</si>
  <si>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</si>
  <si>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</si>
  <si>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</si>
  <si>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</si>
  <si>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</si>
  <si>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</si>
  <si>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</si>
  <si>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</si>
  <si>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</si>
  <si>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</si>
  <si>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</si>
  <si>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</si>
  <si>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</si>
  <si>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</si>
  <si>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</si>
  <si>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</si>
  <si>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</si>
  <si>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</si>
  <si>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</si>
  <si>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</si>
  <si>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</si>
  <si>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</si>
  <si>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</si>
  <si>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</si>
  <si>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</si>
  <si>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</si>
  <si>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</si>
  <si>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</si>
  <si>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</si>
  <si>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</si>
  <si>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</si>
  <si>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</si>
  <si>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</si>
  <si>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</si>
  <si>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</si>
  <si>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</si>
  <si>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</si>
  <si>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</si>
  <si>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</si>
  <si>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</si>
  <si>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</si>
  <si>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</si>
  <si>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</si>
  <si>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</si>
  <si>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</si>
  <si>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</si>
  <si>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</si>
  <si>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</si>
  <si>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</si>
  <si>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</si>
  <si>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</si>
  <si>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</si>
  <si>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</si>
  <si>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</si>
  <si>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</si>
  <si>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</si>
  <si>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</si>
  <si>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</si>
  <si>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</si>
  <si>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</si>
  <si>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</si>
  <si>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</si>
  <si>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</si>
  <si>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</si>
  <si>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</si>
  <si>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</si>
  <si>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</si>
  <si>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</si>
  <si>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</si>
  <si>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</si>
  <si>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</si>
  <si>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</si>
  <si>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</si>
  <si>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</si>
  <si>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</si>
  <si>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</si>
  <si>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</si>
  <si>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</si>
  <si>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</si>
  <si>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</si>
  <si>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</si>
  <si>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</si>
  <si>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</si>
  <si>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</si>
  <si>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</si>
  <si>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</si>
  <si>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</si>
  <si>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</si>
  <si>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</si>
  <si>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</si>
  <si>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</si>
  <si>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</si>
  <si>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</si>
  <si>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</si>
  <si>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</si>
  <si>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</si>
  <si>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</si>
  <si>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</si>
  <si>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</si>
  <si>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</si>
  <si>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</si>
  <si>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</si>
  <si>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</si>
  <si>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</si>
  <si>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</si>
  <si>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</si>
  <si>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</si>
  <si>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</si>
  <si>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</si>
  <si>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</si>
  <si>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</si>
  <si>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</si>
  <si>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</si>
  <si>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</si>
  <si>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</si>
  <si>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</si>
  <si>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</si>
  <si>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</si>
  <si>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</si>
  <si>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</si>
  <si>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</si>
  <si>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</si>
  <si>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</si>
  <si>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</si>
  <si>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</si>
  <si>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</si>
  <si>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</si>
  <si>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</si>
  <si>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</si>
  <si>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</si>
  <si>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</si>
  <si>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</si>
  <si>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</si>
  <si>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</si>
  <si>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</si>
  <si>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</si>
  <si>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</si>
  <si>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</si>
  <si>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</si>
  <si>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</si>
  <si>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</si>
  <si>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</si>
  <si>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</si>
  <si>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</si>
  <si>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</si>
  <si>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</si>
  <si>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</si>
  <si>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</si>
  <si>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</si>
  <si>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</si>
  <si>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</si>
  <si>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</si>
  <si>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</si>
  <si>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</si>
  <si>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</si>
  <si>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</si>
  <si>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</si>
  <si>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</si>
  <si>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</si>
  <si>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</si>
  <si>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</si>
  <si>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</si>
  <si>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</si>
  <si>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</si>
  <si>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</si>
  <si>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</si>
  <si>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</si>
  <si>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</si>
  <si>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</si>
  <si>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</si>
  <si>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</si>
  <si>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</si>
  <si>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</si>
  <si>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</si>
  <si>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</si>
  <si>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</si>
  <si>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</si>
  <si>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</si>
  <si>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</si>
  <si>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</si>
  <si>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</si>
  <si>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</si>
  <si>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</si>
  <si>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</si>
  <si>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</si>
  <si>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</si>
  <si>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</si>
  <si>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</si>
  <si>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</si>
  <si>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</si>
  <si>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</si>
  <si>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</si>
  <si>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</si>
  <si>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</si>
  <si>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</si>
  <si>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</si>
  <si>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</si>
  <si>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</si>
  <si>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</si>
  <si>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</si>
  <si>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</si>
  <si>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</si>
  <si>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</si>
  <si>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</si>
  <si>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</si>
  <si>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</si>
  <si>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</si>
  <si>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</si>
  <si>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</si>
  <si>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</si>
  <si>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</si>
  <si>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</si>
  <si>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</si>
  <si>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</si>
  <si>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</si>
  <si>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</si>
  <si>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</si>
  <si>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</si>
  <si>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</si>
  <si>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</si>
  <si>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</si>
  <si>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</si>
  <si>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</si>
  <si>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</si>
  <si>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</si>
  <si>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</si>
  <si>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</si>
  <si>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</si>
  <si>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</si>
  <si>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</si>
  <si>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</si>
  <si>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</si>
  <si>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</si>
  <si>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</si>
  <si>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</si>
  <si>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</si>
  <si>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</si>
  <si>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</si>
  <si>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</si>
  <si>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</si>
  <si>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</si>
  <si>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</si>
  <si>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</si>
  <si>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</si>
  <si>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</si>
  <si>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</si>
  <si>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</si>
  <si>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</si>
  <si>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</si>
  <si>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</si>
  <si>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</si>
  <si>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</si>
  <si>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</si>
  <si>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</si>
  <si>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</si>
  <si>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</si>
  <si>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</si>
  <si>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</si>
  <si>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</si>
  <si>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</si>
  <si>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</si>
  <si>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</si>
  <si>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</si>
  <si>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</si>
  <si>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</si>
  <si>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</si>
  <si>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</si>
  <si>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</si>
  <si>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</si>
  <si>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</si>
  <si>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</si>
  <si>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</si>
  <si>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</si>
  <si>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</si>
  <si>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</si>
  <si>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</si>
  <si>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</si>
  <si>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</si>
  <si>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</si>
  <si>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</si>
  <si>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</si>
  <si>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</si>
  <si>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</si>
  <si>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</si>
  <si>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</si>
  <si>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</si>
  <si>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</si>
  <si>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</si>
  <si>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</si>
  <si>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</si>
  <si>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</si>
  <si>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</si>
  <si>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</si>
  <si>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</si>
  <si>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</si>
  <si>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</si>
  <si>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</si>
  <si>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</si>
  <si>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</si>
  <si>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</si>
  <si>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</si>
  <si>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</si>
  <si>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</si>
  <si>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</si>
  <si>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</si>
  <si>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</si>
  <si>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</si>
  <si>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</si>
  <si>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</si>
  <si>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</si>
  <si>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</si>
  <si>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</si>
  <si>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</si>
  <si>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</si>
  <si>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</si>
  <si>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</si>
  <si>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</si>
  <si>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</si>
  <si>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</si>
  <si>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</si>
  <si>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</si>
  <si>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</si>
  <si>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</si>
  <si>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</si>
  <si>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</si>
  <si>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</si>
  <si>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</si>
  <si>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</si>
  <si>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</si>
  <si>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</si>
  <si>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</si>
  <si>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</si>
  <si>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</si>
  <si>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</si>
  <si>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</si>
  <si>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</si>
  <si>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</si>
  <si>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</si>
  <si>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</si>
  <si>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</si>
  <si>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</si>
  <si>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</si>
  <si>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</si>
  <si>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</si>
  <si>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</si>
  <si>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</si>
  <si>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</si>
  <si>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</si>
  <si>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</si>
  <si>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</si>
  <si>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</si>
  <si>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</si>
  <si>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</si>
  <si>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</si>
  <si>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</si>
  <si>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</si>
  <si>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</si>
  <si>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</si>
  <si>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</si>
  <si>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</si>
  <si>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</si>
  <si>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</si>
  <si>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</si>
  <si>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</si>
  <si>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</si>
  <si>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</si>
  <si>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</si>
  <si>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</si>
  <si>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</si>
  <si>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</si>
  <si>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</si>
  <si>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</si>
  <si>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</si>
  <si>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</si>
  <si>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</si>
  <si>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</si>
  <si>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</si>
  <si>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</si>
  <si>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</si>
  <si>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</si>
  <si>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</si>
  <si>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</si>
  <si>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</si>
  <si>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</si>
  <si>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</si>
  <si>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</si>
  <si>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</si>
  <si>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</si>
  <si>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</si>
  <si>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</si>
  <si>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</si>
  <si>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</si>
  <si>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</si>
  <si>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</si>
  <si>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</si>
  <si>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</si>
  <si>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</si>
  <si>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</si>
  <si>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</si>
  <si>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</si>
  <si>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</si>
  <si>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</si>
  <si>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</si>
  <si>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</si>
  <si>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</si>
  <si>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</si>
  <si>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</si>
  <si>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</si>
  <si>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</si>
  <si>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</si>
  <si>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</si>
  <si>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</si>
  <si>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</si>
  <si>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</si>
  <si>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</si>
  <si>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</si>
  <si>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</si>
  <si>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</si>
  <si>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</si>
  <si>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</si>
  <si>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</si>
  <si>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</si>
  <si>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</si>
  <si>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</si>
  <si>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</si>
  <si>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</si>
  <si>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</si>
  <si>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</si>
  <si>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</si>
  <si>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</si>
  <si>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</si>
  <si>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</si>
  <si>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</si>
  <si>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</si>
  <si>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</si>
  <si>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</si>
  <si>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</si>
  <si>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</si>
  <si>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</si>
  <si>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</si>
  <si>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</si>
  <si>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</si>
  <si>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</si>
  <si>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</si>
  <si>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</si>
  <si>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</si>
  <si>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</si>
  <si>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</si>
  <si>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</si>
  <si>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</si>
  <si>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</si>
  <si>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</si>
  <si>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</si>
  <si>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</si>
  <si>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</si>
  <si>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</si>
  <si>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</si>
  <si>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</si>
  <si>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</si>
  <si>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</si>
  <si>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</si>
  <si>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</si>
  <si>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</si>
  <si>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</si>
  <si>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</si>
  <si>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</si>
  <si>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</si>
  <si>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</si>
  <si>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</si>
  <si>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</si>
  <si>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</si>
  <si>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</si>
  <si>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</si>
  <si>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</si>
  <si>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</si>
  <si>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</si>
  <si>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</si>
  <si>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</si>
  <si>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</si>
  <si>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</si>
  <si>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</si>
  <si>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</si>
  <si>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</si>
  <si>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</si>
  <si>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</si>
  <si>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</si>
  <si>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</si>
  <si>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</si>
  <si>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</si>
  <si>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</si>
  <si>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</si>
  <si>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</si>
  <si>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</si>
  <si>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</si>
  <si>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</si>
  <si>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</si>
  <si>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</si>
  <si>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</si>
  <si>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</si>
  <si>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</si>
  <si>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</si>
  <si>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</si>
  <si>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</si>
  <si>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</si>
  <si>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</si>
  <si>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</si>
  <si>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</si>
  <si>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</si>
  <si>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</si>
  <si>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</si>
  <si>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</si>
  <si>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</si>
  <si>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</si>
  <si>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</si>
  <si>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</si>
  <si>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</si>
  <si>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</si>
  <si>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</si>
  <si>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</si>
  <si>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</si>
  <si>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</si>
  <si>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</si>
  <si>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</si>
  <si>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</si>
  <si>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</si>
  <si>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</si>
  <si>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</si>
  <si>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</si>
  <si>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</si>
  <si>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</si>
  <si>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</si>
  <si>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</si>
  <si>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</si>
  <si>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</si>
  <si>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</si>
  <si>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</si>
  <si>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</si>
  <si>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</si>
  <si>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</si>
  <si>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</si>
  <si>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</si>
  <si>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</si>
  <si>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</si>
  <si>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</si>
  <si>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</si>
  <si>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</si>
  <si>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</si>
  <si>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</si>
  <si>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</si>
  <si>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</si>
  <si>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</si>
  <si>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</si>
  <si>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</si>
  <si>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</si>
  <si>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</si>
  <si>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</si>
  <si>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</si>
  <si>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</si>
  <si>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</si>
  <si>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</si>
  <si>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</si>
  <si>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</si>
  <si>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</si>
  <si>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</si>
  <si>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</si>
  <si>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</si>
  <si>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</si>
  <si>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</si>
  <si>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</si>
  <si>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</si>
  <si>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</si>
  <si>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</si>
  <si>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</si>
  <si>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</si>
  <si>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</si>
  <si>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</si>
  <si>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</si>
  <si>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</si>
  <si>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</si>
  <si>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</si>
  <si>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</si>
  <si>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</si>
  <si>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</si>
  <si>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</si>
  <si>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</si>
  <si>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</si>
  <si>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</si>
  <si>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</si>
  <si>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</si>
  <si>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</si>
  <si>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</si>
  <si>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</si>
  <si>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</si>
  <si>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</si>
  <si>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</si>
  <si>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</si>
  <si>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</si>
  <si>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</si>
  <si>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</si>
  <si>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</si>
  <si>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</si>
  <si>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</si>
  <si>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</si>
  <si>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</si>
  <si>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</si>
  <si>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</si>
  <si>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</si>
  <si>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</si>
  <si>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</si>
  <si>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</si>
  <si>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</si>
  <si>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</si>
  <si>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</si>
  <si>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</si>
  <si>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</si>
  <si>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</si>
  <si>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</si>
  <si>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</si>
  <si>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</si>
  <si>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</si>
  <si>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</si>
  <si>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</si>
  <si>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</si>
  <si>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</si>
  <si>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</si>
  <si>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</si>
  <si>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</si>
  <si>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</si>
  <si>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</si>
  <si>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</si>
  <si>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</si>
  <si>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</si>
  <si>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</si>
  <si>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</si>
  <si>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</si>
  <si>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</si>
  <si>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</si>
  <si>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</si>
  <si>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</si>
  <si>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</si>
  <si>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</si>
  <si>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</si>
  <si>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</si>
  <si>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</si>
  <si>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</si>
  <si>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</si>
  <si>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</si>
  <si>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</si>
  <si>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</si>
  <si>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</si>
  <si>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</si>
  <si>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</si>
  <si>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</si>
  <si>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</si>
  <si>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</si>
  <si>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</si>
  <si>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</si>
  <si>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</si>
  <si>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</si>
  <si>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</si>
  <si>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</si>
  <si>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</si>
  <si>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</si>
  <si>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</si>
  <si>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</si>
  <si>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</si>
  <si>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</si>
  <si>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</si>
  <si>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</si>
  <si>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</si>
  <si>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</si>
  <si>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</si>
  <si>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</si>
  <si>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</si>
  <si>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</si>
  <si>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</si>
  <si>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</si>
  <si>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</si>
  <si>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</si>
  <si>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</si>
  <si>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</si>
  <si>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</si>
  <si>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</si>
  <si>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</si>
  <si>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</si>
  <si>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</si>
  <si>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</si>
  <si>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</si>
  <si>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</si>
  <si>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</si>
  <si>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</si>
  <si>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</si>
  <si>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</si>
  <si>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</si>
  <si>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</si>
  <si>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</si>
  <si>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</si>
  <si>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</si>
  <si>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</si>
  <si>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</si>
  <si>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</si>
  <si>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</si>
  <si>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</si>
  <si>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</si>
  <si>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</si>
  <si>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</si>
  <si>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</si>
  <si>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</si>
  <si>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</si>
  <si>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</si>
  <si>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</si>
  <si>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</si>
  <si>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</si>
  <si>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</si>
  <si>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</si>
  <si>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</si>
  <si>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</si>
  <si>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</si>
  <si>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</si>
  <si>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</si>
  <si>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</si>
  <si>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</si>
  <si>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</si>
  <si>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</si>
  <si>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</si>
  <si>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</si>
  <si>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</si>
  <si>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</si>
  <si>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</si>
  <si>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</si>
  <si>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</si>
  <si>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</si>
  <si>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</si>
  <si>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</si>
  <si>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</si>
  <si>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</si>
  <si>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</si>
  <si>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</si>
  <si>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</si>
  <si>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</si>
  <si>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</si>
  <si>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</si>
  <si>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</si>
  <si>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</si>
  <si>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</si>
  <si>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</si>
  <si>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</si>
  <si>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</si>
  <si>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</si>
  <si>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</si>
  <si>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</si>
  <si>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</si>
  <si>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</si>
  <si>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</si>
  <si>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</si>
  <si>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</si>
  <si>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</si>
  <si>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</si>
  <si>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</si>
  <si>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</si>
  <si>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</si>
  <si>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</si>
  <si>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</si>
  <si>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</si>
  <si>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</si>
  <si>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</si>
  <si>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</si>
  <si>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</si>
  <si>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</si>
  <si>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</si>
  <si>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</si>
  <si>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</si>
  <si>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</si>
  <si>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</si>
  <si>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</si>
  <si>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</si>
  <si>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</si>
  <si>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</si>
  <si>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</si>
  <si>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</si>
  <si>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</si>
  <si>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</si>
  <si>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</si>
  <si>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</si>
  <si>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</si>
  <si>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</si>
  <si>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</si>
  <si>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</si>
  <si>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</si>
  <si>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</si>
  <si>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</si>
  <si>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</si>
  <si>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</si>
  <si>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</si>
  <si>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</si>
  <si>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</si>
  <si>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</si>
  <si>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</si>
  <si>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</si>
  <si>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</si>
  <si>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</si>
  <si>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</si>
  <si>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</si>
  <si>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</si>
  <si>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</si>
  <si>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</si>
  <si>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</si>
  <si>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</si>
  <si>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</si>
  <si>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</si>
  <si>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</si>
  <si>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</si>
  <si>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</si>
  <si>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</si>
  <si>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</si>
  <si>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</si>
  <si>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</si>
  <si>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</si>
  <si>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</si>
  <si>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</si>
  <si>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</si>
  <si>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</si>
  <si>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</si>
  <si>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</si>
  <si>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</si>
  <si>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</si>
  <si>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</si>
  <si>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</si>
  <si>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</si>
  <si>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</si>
  <si>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</si>
  <si>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</si>
  <si>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</si>
  <si>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</si>
  <si>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</si>
  <si>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</si>
  <si>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</si>
  <si>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</si>
  <si>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</si>
  <si>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</si>
  <si>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</si>
  <si>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</si>
  <si>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</si>
  <si>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</si>
  <si>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</si>
  <si>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</si>
  <si>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</si>
  <si>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</si>
  <si>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</si>
  <si>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</si>
  <si>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</si>
  <si>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</si>
  <si>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</si>
  <si>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</si>
  <si>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</si>
  <si>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</si>
  <si>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</si>
  <si>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</si>
  <si>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</si>
  <si>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</si>
  <si>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</si>
  <si>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</si>
  <si>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</si>
  <si>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</si>
  <si>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</si>
  <si>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</si>
  <si>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</si>
  <si>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</si>
  <si>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</si>
  <si>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</si>
  <si>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</si>
  <si>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</si>
  <si>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</si>
  <si>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</si>
  <si>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</si>
  <si>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</si>
  <si>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</si>
  <si>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</si>
  <si>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</si>
  <si>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</si>
  <si>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</si>
  <si>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</si>
  <si>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</si>
  <si>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</si>
  <si>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</si>
  <si>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</si>
  <si>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</si>
  <si>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</si>
  <si>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</si>
  <si>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</si>
  <si>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</si>
  <si>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</si>
  <si>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</si>
  <si>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</si>
  <si>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</si>
  <si>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</si>
  <si>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</si>
  <si>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</si>
  <si>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</si>
  <si>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</si>
  <si>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</si>
  <si>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</si>
  <si>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</si>
  <si>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</si>
  <si>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</si>
  <si>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</si>
  <si>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</si>
  <si>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</si>
  <si>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</si>
  <si>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</si>
  <si>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</si>
  <si>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</si>
  <si>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</si>
  <si>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</si>
  <si>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</si>
  <si>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</si>
  <si>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</si>
  <si>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</si>
  <si>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</si>
  <si>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</si>
  <si>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</si>
  <si>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</si>
  <si>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</si>
  <si>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</si>
  <si>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</si>
  <si>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</si>
  <si>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</si>
  <si>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</si>
  <si>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</si>
  <si>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</si>
  <si>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</si>
  <si>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</si>
  <si>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</si>
  <si>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</si>
  <si>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</si>
  <si>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</si>
  <si>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</si>
  <si>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</si>
  <si>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</si>
  <si>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</si>
  <si>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</si>
  <si>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</si>
  <si>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</si>
  <si>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</si>
  <si>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</si>
  <si>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</si>
  <si>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</si>
  <si>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</si>
  <si>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</si>
  <si>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</si>
  <si>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</si>
  <si>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</si>
  <si>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</si>
  <si>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</si>
  <si>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</si>
  <si>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</si>
  <si>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</si>
  <si>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</si>
  <si>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</si>
  <si>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</si>
  <si>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</si>
  <si>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</si>
  <si>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</si>
  <si>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</si>
  <si>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</si>
  <si>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</si>
  <si>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</si>
  <si>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</si>
  <si>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</si>
  <si>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</si>
  <si>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</si>
  <si>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</si>
  <si>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</si>
  <si>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</si>
  <si>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</si>
  <si>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</si>
  <si>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</si>
  <si>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</si>
  <si>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</si>
  <si>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</si>
  <si>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</si>
  <si>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</si>
  <si>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</si>
  <si>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</si>
  <si>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</si>
  <si>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</si>
  <si>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</si>
  <si>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</si>
  <si>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</si>
  <si>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</si>
  <si>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</si>
  <si>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</si>
  <si>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</si>
  <si>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</si>
  <si>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</si>
  <si>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</si>
  <si>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</si>
  <si>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</si>
  <si>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</si>
  <si>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</si>
  <si>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</si>
  <si>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</si>
  <si>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</si>
  <si>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</si>
  <si>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</si>
  <si>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</si>
  <si>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</si>
  <si>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</si>
  <si>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</si>
  <si>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</si>
  <si>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</si>
  <si>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</si>
  <si>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</si>
  <si>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</si>
  <si>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</si>
  <si>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</si>
  <si>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</si>
  <si>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</si>
  <si>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</si>
  <si>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</si>
  <si>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</si>
  <si>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</si>
  <si>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</si>
  <si>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</si>
  <si>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</si>
  <si>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</si>
  <si>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</si>
  <si>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</si>
  <si>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</si>
  <si>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</si>
  <si>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</si>
  <si>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</si>
  <si>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</si>
  <si>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</si>
  <si>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</si>
  <si>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</si>
  <si>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</si>
  <si>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</si>
  <si>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</si>
  <si>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</si>
  <si>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</si>
  <si>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</si>
  <si>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</si>
  <si>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</si>
  <si>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</si>
  <si>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</si>
  <si>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</si>
  <si>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</si>
  <si>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</si>
  <si>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</si>
  <si>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</si>
  <si>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</si>
  <si>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</si>
  <si>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</si>
  <si>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</si>
  <si>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</si>
  <si>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</si>
  <si>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</si>
  <si>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</si>
  <si>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</si>
  <si>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</si>
  <si>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</si>
  <si>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</si>
  <si>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</si>
  <si>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</si>
  <si>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</si>
  <si>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</si>
  <si>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</si>
  <si>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</si>
  <si>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</si>
  <si>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</si>
  <si>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</si>
  <si>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</si>
  <si>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</si>
  <si>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</si>
  <si>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</si>
  <si>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</si>
  <si>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</si>
  <si>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</si>
  <si>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</si>
  <si>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</si>
  <si>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</si>
  <si>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</si>
  <si>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</si>
  <si>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</si>
  <si>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</si>
  <si>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</si>
  <si>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</si>
  <si>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</si>
  <si>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</si>
  <si>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</si>
  <si>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</si>
  <si>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</si>
  <si>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</si>
  <si>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</si>
  <si>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</si>
  <si>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</si>
  <si>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</si>
  <si>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</si>
  <si>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</si>
  <si>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</si>
  <si>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</si>
  <si>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</si>
  <si>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</si>
  <si>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</si>
  <si>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</si>
  <si>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</si>
  <si>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</si>
  <si>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</si>
  <si>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</si>
  <si>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</si>
  <si>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</si>
  <si>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</si>
  <si>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</si>
  <si>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</si>
  <si>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</si>
  <si>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</si>
  <si>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</si>
  <si>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</si>
  <si>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</si>
  <si>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</si>
  <si>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</si>
  <si>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</si>
  <si>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</si>
  <si>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</si>
  <si>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</si>
  <si>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</si>
  <si>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</si>
  <si>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</si>
  <si>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</si>
  <si>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</si>
  <si>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</si>
  <si>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</si>
  <si>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</si>
  <si>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</si>
  <si>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</si>
  <si>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</si>
  <si>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</si>
  <si>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</si>
  <si>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</si>
  <si>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</si>
  <si>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</si>
  <si>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</si>
  <si>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</si>
  <si>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</si>
  <si>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</si>
  <si>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</si>
  <si>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</si>
  <si>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</si>
  <si>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</si>
  <si>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</si>
  <si>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</si>
  <si>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</si>
  <si>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</si>
  <si>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</si>
  <si>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</si>
  <si>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</si>
  <si>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</si>
  <si>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</si>
  <si>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</si>
  <si>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</si>
  <si>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</si>
  <si>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</si>
  <si>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</si>
  <si>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</si>
  <si>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</si>
  <si>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</si>
  <si>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</si>
  <si>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</si>
  <si>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</si>
  <si>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</si>
  <si>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</si>
  <si>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</si>
  <si>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</si>
  <si>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</si>
  <si>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</si>
  <si>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</si>
  <si>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</si>
  <si>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</si>
  <si>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</si>
  <si>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</si>
  <si>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</si>
  <si>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</si>
  <si>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</si>
  <si>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</si>
  <si>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</si>
  <si>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</si>
  <si>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</si>
  <si>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</si>
  <si>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</si>
  <si>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</si>
  <si>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</si>
  <si>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</si>
  <si>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</si>
  <si>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</si>
  <si>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</si>
  <si>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</si>
  <si>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</si>
  <si>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</si>
  <si>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</si>
  <si>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</si>
  <si>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</si>
  <si>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</si>
  <si>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</si>
  <si>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</si>
  <si>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</si>
  <si>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</si>
  <si>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</si>
  <si>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</si>
  <si>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</si>
  <si>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</si>
  <si>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</si>
  <si>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</si>
  <si>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</si>
  <si>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</si>
  <si>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</si>
  <si>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</si>
  <si>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</si>
  <si>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</si>
  <si>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</si>
  <si>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</si>
  <si>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</si>
  <si>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</si>
  <si>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</si>
  <si>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</si>
  <si>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</si>
  <si>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</si>
  <si>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</si>
  <si>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</si>
  <si>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</si>
  <si>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</si>
  <si>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</si>
  <si>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</si>
  <si>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</si>
  <si>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</si>
  <si>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</si>
  <si>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</si>
  <si>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</si>
  <si>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</si>
  <si>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</si>
  <si>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</si>
  <si>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</si>
  <si>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</si>
  <si>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</si>
  <si>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</si>
  <si>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</si>
  <si>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</si>
  <si>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</si>
  <si>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</si>
  <si>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</si>
  <si>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</si>
  <si>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</si>
  <si>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</si>
  <si>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</si>
  <si>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</si>
  <si>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</si>
  <si>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</si>
  <si>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</si>
  <si>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</si>
  <si>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</si>
  <si>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</si>
  <si>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</si>
  <si>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</si>
  <si>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</si>
  <si>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</si>
  <si>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</si>
  <si>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</si>
  <si>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</si>
  <si>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</si>
  <si>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</si>
  <si>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</si>
  <si>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</si>
  <si>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</si>
  <si>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</si>
  <si>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</si>
  <si>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</si>
  <si>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</si>
  <si>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</si>
  <si>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</si>
  <si>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</si>
  <si>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</si>
  <si>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</si>
  <si>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</si>
  <si>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</si>
  <si>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</si>
  <si>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</si>
  <si>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</si>
  <si>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</si>
  <si>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</si>
  <si>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</si>
  <si>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</si>
  <si>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</si>
  <si>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</si>
  <si>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</si>
  <si>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</si>
  <si>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</si>
  <si>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</si>
  <si>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</si>
  <si>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</si>
  <si>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</si>
  <si>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</si>
  <si>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</si>
  <si>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</si>
  <si>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</si>
  <si>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</si>
  <si>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</si>
  <si>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</si>
  <si>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</si>
  <si>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</si>
  <si>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</si>
  <si>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</si>
  <si>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</si>
  <si>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</si>
  <si>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</si>
  <si>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</si>
  <si>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</si>
  <si>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</si>
  <si>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</si>
  <si>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</si>
  <si>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</si>
  <si>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</si>
  <si>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</si>
  <si>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</si>
  <si>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</si>
  <si>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</si>
  <si>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</si>
  <si>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</si>
  <si>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</si>
  <si>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</si>
  <si>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</si>
  <si>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</si>
  <si>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</si>
  <si>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</si>
  <si>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</si>
  <si>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</si>
  <si>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</si>
  <si>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</si>
  <si>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</si>
  <si>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</si>
  <si>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</si>
  <si>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</si>
  <si>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</si>
  <si>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</si>
  <si>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</si>
  <si>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</si>
  <si>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</si>
  <si>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</si>
  <si>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</si>
  <si>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</si>
  <si>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</si>
  <si>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</si>
  <si>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</si>
  <si>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</si>
  <si>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</si>
  <si>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</si>
  <si>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</si>
  <si>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</si>
  <si>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</si>
  <si>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</si>
  <si>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</si>
  <si>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</si>
  <si>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</si>
  <si>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</si>
  <si>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</si>
  <si>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</si>
  <si>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</si>
  <si>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</si>
  <si>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</si>
  <si>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</si>
  <si>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</si>
  <si>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</si>
  <si>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</si>
  <si>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</si>
  <si>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</si>
  <si>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</si>
  <si>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</si>
  <si>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</si>
  <si>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</si>
  <si>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</si>
  <si>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</si>
  <si>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</si>
  <si>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</si>
  <si>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</si>
  <si>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</si>
  <si>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</si>
  <si>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</si>
  <si>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</si>
  <si>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</si>
  <si>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</si>
  <si>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</si>
  <si>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</si>
  <si>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</si>
  <si>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</si>
  <si>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</si>
  <si>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</si>
  <si>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</si>
  <si>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</si>
  <si>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</si>
  <si>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</si>
  <si>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</si>
  <si>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</si>
  <si>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</si>
  <si>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</si>
  <si>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</si>
  <si>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</si>
  <si>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</si>
  <si>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</si>
  <si>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</si>
  <si>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</si>
  <si>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</si>
  <si>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</si>
  <si>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</si>
  <si>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</si>
  <si>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</si>
  <si>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</si>
  <si>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</si>
  <si>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</si>
  <si>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</si>
  <si>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</si>
  <si>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</si>
  <si>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</si>
  <si>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</si>
  <si>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</si>
  <si>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</si>
  <si>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</si>
  <si>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</si>
  <si>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</si>
  <si>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</si>
  <si>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</si>
  <si>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</si>
  <si>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</si>
  <si>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</si>
  <si>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</si>
  <si>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</si>
  <si>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</si>
  <si>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</si>
  <si>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</si>
  <si>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</si>
  <si>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</si>
  <si>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</si>
  <si>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</si>
  <si>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</si>
  <si>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</si>
  <si>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</si>
  <si>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</si>
  <si>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</si>
  <si>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</si>
  <si>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</si>
  <si>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</si>
  <si>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</si>
  <si>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</si>
  <si>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</si>
  <si>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</si>
  <si>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</si>
  <si>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</si>
  <si>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</si>
  <si>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</si>
  <si>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</si>
  <si>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</si>
  <si>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</si>
  <si>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</si>
  <si>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</si>
  <si>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</si>
  <si>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</si>
  <si>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</si>
  <si>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</si>
  <si>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</si>
  <si>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</si>
  <si>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</si>
  <si>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</si>
  <si>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</si>
  <si>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</si>
  <si>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</si>
  <si>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</si>
  <si>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</si>
  <si>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</si>
  <si>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</si>
  <si>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</si>
  <si>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</si>
  <si>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</si>
  <si>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</si>
  <si>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</si>
  <si>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</si>
  <si>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</si>
  <si>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</si>
  <si>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</si>
  <si>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</si>
  <si>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</si>
  <si>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</si>
  <si>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</si>
  <si>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</si>
  <si>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</si>
  <si>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</si>
  <si>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</si>
  <si>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</si>
  <si>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</si>
  <si>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</si>
  <si>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</si>
  <si>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</si>
  <si>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</si>
  <si>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</si>
  <si>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</si>
  <si>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</si>
  <si>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</si>
  <si>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</si>
  <si>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</si>
  <si>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</si>
  <si>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</si>
  <si>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</si>
  <si>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</si>
  <si>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</si>
  <si>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</si>
  <si>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</si>
  <si>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</si>
  <si>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</si>
  <si>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</si>
  <si>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</si>
  <si>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</si>
  <si>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</si>
  <si>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</si>
  <si>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</si>
  <si>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</si>
  <si>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</si>
  <si>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</si>
  <si>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</si>
  <si>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</si>
  <si>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</si>
  <si>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</si>
  <si>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</si>
  <si>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</si>
  <si>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</si>
  <si>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</si>
  <si>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</si>
  <si>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</si>
  <si>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</si>
  <si>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</si>
  <si>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</si>
  <si>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</si>
  <si>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</si>
  <si>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</si>
  <si>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</si>
  <si>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</si>
  <si>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</si>
  <si>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</si>
  <si>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</si>
  <si>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</si>
  <si>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</si>
  <si>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</si>
  <si>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</si>
  <si>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</si>
  <si>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</si>
  <si>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</si>
  <si>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</si>
  <si>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</si>
  <si>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</si>
  <si>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</si>
  <si>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</si>
  <si>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</si>
  <si>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</si>
  <si>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</si>
  <si>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</si>
  <si>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</si>
  <si>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</si>
  <si>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</si>
  <si>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</si>
  <si>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</si>
  <si>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</si>
  <si>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</si>
  <si>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</si>
  <si>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</si>
  <si>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</si>
  <si>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</si>
  <si>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</si>
  <si>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</si>
  <si>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</si>
  <si>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</si>
  <si>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</si>
  <si>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</si>
  <si>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</si>
  <si>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</si>
  <si>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</si>
  <si>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</si>
  <si>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</si>
  <si>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</si>
  <si>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</si>
  <si>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</si>
  <si>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</si>
  <si>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</si>
  <si>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</si>
  <si>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</si>
  <si>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</si>
  <si>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</si>
  <si>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</si>
  <si>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</si>
  <si>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</si>
  <si>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</si>
  <si>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</si>
  <si>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</si>
  <si>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</si>
  <si>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</si>
  <si>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</si>
  <si>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</si>
  <si>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</si>
  <si>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</si>
  <si>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</si>
  <si>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</si>
  <si>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</si>
  <si>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</si>
  <si>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</si>
  <si>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</si>
  <si>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</si>
  <si>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</si>
  <si>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</si>
  <si>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</si>
  <si>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</si>
  <si>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</si>
  <si>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</si>
  <si>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</si>
  <si>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</si>
  <si>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</si>
  <si>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</si>
  <si>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</si>
  <si>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</si>
  <si>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</si>
  <si>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</si>
  <si>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</si>
  <si>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</si>
  <si>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</si>
  <si>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</si>
  <si>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</si>
  <si>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</si>
  <si>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</si>
  <si>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</si>
  <si>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</si>
  <si>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</si>
  <si>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</si>
  <si>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</si>
  <si>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</si>
  <si>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</si>
  <si>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</si>
  <si>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</si>
  <si>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</si>
  <si>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</si>
  <si>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</si>
  <si>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</si>
  <si>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</si>
  <si>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</si>
  <si>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</si>
  <si>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</si>
  <si>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</si>
  <si>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</si>
  <si>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</si>
  <si>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</si>
  <si>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</si>
  <si>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</si>
  <si>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</si>
  <si>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</si>
  <si>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</si>
  <si>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</si>
  <si>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</si>
  <si>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</si>
  <si>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</si>
  <si>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</si>
  <si>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</si>
  <si>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</si>
  <si>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</si>
  <si>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</si>
  <si>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</si>
  <si>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</si>
  <si>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</si>
  <si>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</si>
  <si>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</si>
  <si>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</si>
  <si>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</si>
  <si>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</si>
  <si>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</si>
  <si>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</si>
  <si>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</si>
  <si>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</si>
  <si>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</si>
  <si>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</si>
  <si>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</si>
  <si>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</si>
  <si>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</si>
  <si>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</si>
  <si>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</si>
  <si>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</si>
  <si>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</si>
  <si>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</si>
  <si>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</si>
  <si>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</si>
  <si>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</si>
  <si>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</si>
  <si>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</si>
  <si>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</si>
  <si>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</si>
  <si>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</si>
  <si>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</si>
  <si>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</si>
  <si>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</si>
  <si>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</si>
  <si>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</si>
  <si>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</si>
  <si>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</si>
  <si>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</si>
  <si>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</si>
  <si>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</si>
  <si>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</si>
  <si>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</si>
  <si>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</si>
  <si>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</si>
  <si>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</si>
  <si>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</si>
  <si>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</si>
  <si>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</si>
  <si>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</si>
  <si>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</si>
  <si>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</si>
  <si>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</si>
  <si>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</si>
  <si>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</si>
  <si>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</si>
  <si>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</si>
  <si>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</si>
  <si>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</si>
  <si>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</si>
  <si>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</si>
  <si>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</si>
  <si>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</si>
  <si>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</si>
  <si>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</si>
  <si>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</si>
  <si>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</si>
  <si>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</si>
  <si>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</si>
  <si>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</si>
  <si>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</si>
  <si>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</si>
  <si>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</si>
  <si>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</si>
  <si>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</si>
  <si>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</si>
  <si>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</si>
  <si>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</si>
  <si>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</si>
  <si>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</si>
  <si>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</si>
  <si>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</si>
  <si>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</si>
  <si>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</si>
  <si>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</si>
  <si>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</si>
  <si>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</si>
  <si>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</si>
  <si>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</si>
  <si>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</si>
  <si>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</si>
  <si>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</si>
  <si>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</si>
  <si>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</si>
  <si>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</si>
  <si>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</si>
  <si>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</si>
  <si>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</si>
  <si>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</si>
  <si>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</si>
  <si>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</si>
  <si>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</si>
  <si>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</si>
  <si>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</si>
  <si>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</si>
  <si>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</si>
  <si>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</si>
  <si>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</si>
  <si>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</si>
  <si>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</si>
  <si>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</si>
  <si>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</si>
  <si>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</si>
  <si>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</si>
  <si>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</si>
  <si>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</si>
  <si>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</si>
  <si>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</si>
  <si>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</si>
  <si>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</si>
  <si>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</si>
  <si>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</si>
  <si>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</si>
  <si>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</si>
  <si>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</si>
  <si>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</si>
  <si>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</si>
  <si>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</si>
  <si>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</si>
  <si>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</si>
  <si>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</si>
  <si>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</si>
  <si>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</si>
  <si>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</si>
  <si>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</si>
  <si>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</si>
  <si>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</si>
  <si>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</si>
  <si>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</si>
  <si>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</si>
  <si>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</si>
  <si>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</si>
  <si>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</si>
  <si>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</si>
  <si>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</si>
  <si>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</si>
  <si>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</si>
  <si>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</si>
  <si>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</si>
  <si>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</si>
  <si>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</si>
  <si>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</si>
  <si>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</si>
  <si>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</si>
  <si>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</si>
  <si>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</si>
  <si>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</si>
  <si>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</si>
  <si>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</si>
  <si>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</si>
  <si>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</si>
  <si>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</si>
  <si>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</si>
  <si>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</si>
  <si>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</si>
  <si>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</si>
  <si>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</si>
  <si>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</si>
  <si>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</si>
  <si>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</si>
  <si>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</si>
  <si>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</si>
  <si>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</si>
  <si>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</si>
  <si>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</si>
  <si>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</si>
  <si>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</si>
  <si>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</si>
  <si>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</si>
  <si>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</si>
  <si>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</si>
  <si>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</si>
  <si>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</si>
  <si>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</si>
  <si>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</si>
  <si>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</si>
  <si>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</si>
  <si>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</si>
  <si>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</si>
  <si>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</si>
  <si>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</si>
  <si>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</si>
  <si>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</si>
  <si>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</si>
  <si>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</si>
  <si>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</si>
  <si>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</si>
  <si>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</si>
  <si>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</si>
  <si>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</si>
  <si>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</si>
  <si>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</si>
  <si>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</si>
  <si>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</si>
  <si>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</si>
  <si>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</si>
  <si>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</si>
  <si>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</si>
  <si>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</si>
  <si>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</si>
  <si>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</si>
  <si>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</si>
  <si>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</si>
  <si>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</si>
  <si>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</si>
  <si>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</si>
  <si>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</si>
  <si>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</si>
  <si>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</si>
  <si>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</si>
  <si>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</si>
  <si>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</si>
  <si>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</si>
  <si>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</si>
  <si>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</si>
  <si>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</si>
  <si>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</si>
  <si>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</si>
  <si>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</si>
  <si>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</si>
  <si>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</si>
  <si>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</si>
  <si>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</si>
  <si>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</si>
  <si>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</si>
  <si>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</si>
  <si>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</si>
  <si>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</si>
  <si>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</si>
  <si>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</si>
  <si>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</si>
  <si>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</si>
  <si>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</si>
  <si>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</si>
  <si>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</si>
  <si>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</si>
  <si>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</si>
  <si>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</si>
  <si>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</si>
  <si>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</si>
  <si>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</si>
  <si>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</si>
  <si>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</si>
  <si>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</si>
  <si>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</si>
  <si>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</si>
  <si>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</si>
  <si>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</si>
  <si>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</si>
  <si>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</si>
  <si>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</si>
  <si>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</si>
  <si>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</si>
  <si>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</si>
  <si>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</si>
  <si>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</si>
  <si>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</si>
  <si>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</si>
  <si>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</si>
  <si>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</si>
  <si>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</si>
  <si>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</si>
  <si>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</si>
  <si>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</si>
  <si>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</si>
  <si>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</si>
  <si>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</si>
  <si>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</si>
  <si>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</si>
  <si>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</si>
  <si>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</si>
  <si>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</si>
  <si>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</si>
  <si>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</si>
  <si>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</si>
  <si>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</si>
  <si>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</si>
  <si>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</si>
  <si>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</si>
  <si>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</si>
  <si>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</si>
  <si>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</si>
  <si>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</si>
  <si>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</si>
  <si>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</si>
  <si>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</si>
  <si>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</si>
  <si>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</si>
  <si>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</si>
  <si>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</si>
  <si>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</si>
  <si>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</si>
  <si>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</si>
  <si>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</si>
  <si>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</si>
  <si>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</si>
  <si>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</si>
  <si>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</si>
  <si>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</si>
  <si>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</si>
  <si>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</si>
  <si>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</si>
  <si>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</si>
  <si>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</si>
  <si>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</si>
  <si>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</si>
  <si>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</si>
  <si>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</si>
  <si>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</si>
  <si>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</si>
  <si>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</si>
  <si>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</si>
  <si>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</si>
  <si>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</si>
  <si>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</si>
  <si>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</si>
  <si>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</si>
  <si>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</si>
  <si>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</si>
  <si>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</si>
  <si>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</si>
  <si>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</si>
  <si>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</si>
  <si>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</si>
  <si>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</si>
  <si>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</si>
  <si>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</si>
  <si>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</si>
  <si>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</si>
  <si>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</si>
  <si>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</si>
  <si>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</si>
  <si>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</si>
  <si>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</si>
  <si>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</si>
  <si>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</si>
  <si>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</si>
  <si>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</si>
  <si>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</si>
  <si>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</si>
  <si>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</si>
  <si>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</si>
  <si>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</si>
  <si>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</si>
  <si>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</si>
  <si>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</si>
  <si>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</si>
  <si>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</si>
  <si>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</si>
  <si>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</si>
  <si>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</si>
  <si>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</si>
  <si>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</si>
  <si>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</si>
  <si>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</si>
  <si>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</si>
  <si>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</si>
  <si>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</si>
  <si>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</si>
  <si>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</si>
  <si>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</si>
  <si>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</si>
  <si>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</si>
  <si>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</si>
  <si>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</si>
  <si>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</si>
  <si>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</si>
  <si>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</si>
  <si>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</si>
  <si>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</si>
  <si>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</si>
  <si>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</si>
  <si>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</si>
  <si>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</si>
  <si>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</si>
  <si>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</si>
  <si>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</si>
  <si>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</si>
  <si>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</si>
  <si>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</si>
  <si>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</si>
  <si>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</si>
  <si>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</si>
  <si>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</si>
  <si>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</si>
  <si>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</si>
  <si>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</si>
  <si>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</si>
  <si>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</si>
  <si>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</si>
  <si>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</si>
  <si>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</si>
  <si>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</si>
  <si>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</si>
  <si>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</si>
  <si>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</si>
  <si>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</si>
  <si>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</si>
  <si>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</si>
  <si>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</si>
  <si>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</si>
  <si>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</si>
  <si>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</si>
  <si>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</si>
  <si>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</si>
  <si>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</si>
  <si>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</si>
  <si>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</si>
  <si>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</si>
  <si>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</si>
  <si>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</si>
  <si>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</si>
  <si>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</si>
  <si>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</si>
  <si>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</si>
  <si>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</si>
  <si>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</si>
  <si>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</si>
  <si>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</si>
  <si>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</si>
  <si>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</si>
  <si>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</si>
  <si>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</si>
  <si>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</si>
  <si>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</si>
  <si>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</si>
  <si>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</si>
  <si>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</si>
  <si>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</si>
  <si>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</si>
  <si>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</si>
  <si>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</si>
  <si>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</si>
  <si>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</si>
  <si>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</si>
  <si>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</si>
  <si>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</si>
  <si>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</si>
  <si>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</si>
  <si>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</si>
  <si>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</si>
  <si>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</si>
  <si>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</si>
  <si>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</si>
  <si>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</si>
  <si>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</si>
  <si>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</si>
  <si>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</si>
  <si>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</si>
  <si>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</si>
  <si>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</si>
  <si>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</si>
  <si>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</si>
  <si>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</si>
  <si>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</si>
  <si>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</si>
  <si>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</si>
  <si>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</si>
  <si>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</si>
  <si>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</si>
  <si>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</si>
  <si>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</si>
  <si>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</si>
  <si>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</si>
  <si>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</si>
  <si>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</si>
  <si>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</si>
  <si>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</si>
  <si>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</si>
  <si>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</si>
  <si>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</si>
  <si>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</si>
  <si>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</si>
  <si>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</si>
  <si>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</si>
  <si>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</si>
  <si>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</si>
  <si>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</si>
  <si>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</si>
  <si>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</si>
  <si>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</si>
  <si>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</si>
  <si>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</si>
  <si>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</si>
  <si>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</si>
  <si>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</si>
  <si>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</si>
  <si>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</si>
  <si>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</si>
  <si>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</si>
  <si>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</si>
  <si>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</si>
  <si>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</si>
  <si>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</si>
  <si>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</si>
  <si>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</si>
  <si>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</si>
  <si>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</si>
  <si>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</si>
  <si>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</si>
  <si>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</si>
  <si>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</si>
  <si>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</si>
  <si>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</si>
  <si>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</si>
  <si>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</si>
  <si>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</si>
  <si>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</si>
  <si>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</si>
  <si>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</si>
  <si>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</si>
  <si>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</si>
  <si>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</si>
  <si>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</si>
  <si>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</si>
  <si>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</si>
  <si>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</si>
  <si>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</si>
  <si>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</si>
  <si>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</si>
  <si>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</si>
  <si>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</si>
  <si>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</si>
  <si>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</si>
  <si>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</si>
  <si>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</si>
  <si>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</si>
  <si>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</si>
  <si>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</si>
  <si>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</si>
  <si>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</si>
  <si>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</si>
  <si>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</si>
  <si>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</si>
  <si>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</si>
  <si>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</si>
  <si>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</si>
  <si>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</si>
  <si>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</si>
  <si>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</si>
  <si>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</si>
  <si>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</si>
  <si>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</si>
  <si>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</si>
  <si>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</si>
  <si>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</si>
  <si>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</si>
  <si>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</si>
  <si>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</si>
  <si>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</si>
  <si>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</si>
  <si>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</si>
  <si>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</si>
  <si>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</si>
  <si>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</si>
  <si>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</si>
  <si>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</si>
  <si>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</si>
  <si>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</si>
  <si>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</si>
  <si>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</si>
  <si>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</si>
  <si>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</si>
  <si>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</si>
  <si>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</si>
  <si>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</si>
  <si>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</si>
  <si>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</si>
  <si>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</si>
  <si>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</si>
  <si>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</si>
  <si>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</si>
  <si>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</si>
  <si>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</si>
  <si>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</si>
  <si>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</si>
  <si>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</si>
  <si>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</si>
  <si>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</si>
  <si>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</si>
  <si>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</si>
  <si>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</si>
  <si>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</si>
  <si>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</si>
  <si>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</si>
  <si>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</si>
  <si>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</si>
  <si>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</si>
  <si>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</si>
  <si>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</si>
  <si>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</si>
  <si>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</si>
  <si>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</si>
  <si>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</si>
  <si>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</si>
  <si>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</si>
  <si>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</si>
  <si>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</si>
  <si>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</si>
  <si>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</si>
  <si>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</si>
  <si>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</si>
  <si>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</si>
  <si>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</si>
  <si>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</si>
  <si>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</si>
  <si>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</si>
  <si>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</si>
  <si>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</si>
  <si>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</si>
  <si>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</si>
  <si>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</si>
  <si>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</si>
  <si>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</si>
  <si>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</si>
  <si>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</si>
  <si>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</si>
  <si>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</si>
  <si>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</si>
  <si>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</si>
  <si>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</si>
  <si>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</si>
  <si>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</si>
  <si>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</si>
  <si>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</si>
  <si>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</si>
  <si>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</si>
  <si>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</si>
  <si>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</si>
  <si>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</si>
  <si>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</si>
  <si>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</si>
  <si>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</si>
  <si>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</si>
  <si>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</si>
  <si>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</si>
  <si>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</si>
  <si>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</si>
  <si>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</si>
  <si>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</si>
  <si>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</si>
  <si>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</si>
  <si>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</si>
  <si>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</si>
  <si>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</si>
  <si>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</si>
  <si>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</si>
  <si>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</si>
  <si>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</si>
  <si>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</si>
  <si>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</si>
  <si>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</si>
  <si>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</si>
  <si>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</si>
  <si>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</si>
  <si>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</si>
  <si>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</si>
  <si>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</si>
  <si>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</si>
  <si>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</si>
  <si>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</si>
  <si>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</si>
  <si>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</si>
  <si>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</si>
  <si>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</si>
  <si>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</si>
  <si>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</si>
  <si>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</si>
  <si>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</si>
  <si>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</si>
  <si>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</si>
  <si>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</si>
  <si>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</si>
  <si>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</si>
  <si>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</si>
  <si>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</si>
  <si>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</si>
  <si>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</si>
  <si>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</si>
  <si>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</si>
  <si>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</si>
  <si>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</si>
  <si>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</si>
  <si>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</si>
  <si>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</si>
  <si>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</si>
  <si>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</si>
  <si>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</si>
  <si>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</si>
  <si>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</si>
  <si>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</si>
  <si>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</si>
  <si>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</si>
  <si>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</si>
  <si>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</si>
  <si>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</si>
  <si>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</si>
  <si>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</si>
  <si>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</si>
  <si>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</si>
  <si>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</si>
  <si>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</si>
  <si>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</si>
  <si>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</si>
  <si>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</si>
  <si>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</si>
  <si>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</si>
  <si>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</si>
  <si>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</si>
  <si>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</si>
  <si>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</si>
  <si>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</si>
  <si>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</si>
  <si>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</si>
  <si>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</si>
  <si>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</si>
  <si>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</si>
  <si>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</si>
  <si>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</si>
  <si>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</si>
  <si>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</si>
  <si>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</si>
  <si>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</si>
  <si>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</si>
  <si>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</si>
  <si>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</si>
  <si>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</si>
  <si>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</si>
  <si>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</si>
  <si>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</si>
  <si>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</si>
  <si>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</si>
  <si>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</si>
  <si>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</si>
  <si>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</si>
  <si>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</si>
  <si>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</si>
  <si>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</si>
  <si>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</si>
  <si>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</si>
  <si>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</si>
  <si>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</si>
  <si>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</si>
  <si>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</si>
  <si>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</si>
  <si>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</si>
  <si>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</si>
  <si>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</si>
  <si>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</si>
  <si>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</si>
  <si>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</si>
  <si>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</si>
  <si>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</si>
  <si>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</si>
  <si>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</si>
  <si>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</si>
  <si>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</si>
  <si>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</si>
  <si>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</si>
  <si>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</si>
  <si>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</si>
  <si>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</si>
  <si>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</si>
  <si>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</si>
  <si>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</si>
  <si>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</si>
  <si>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</si>
  <si>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</si>
  <si>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</si>
  <si>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</si>
  <si>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</si>
  <si>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</si>
  <si>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</si>
  <si>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</si>
  <si>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</si>
  <si>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</si>
  <si>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</si>
  <si>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</si>
  <si>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</si>
  <si>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</si>
  <si>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</si>
  <si>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</si>
  <si>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</si>
  <si>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</si>
  <si>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</si>
  <si>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</si>
  <si>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</si>
  <si>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</si>
  <si>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</si>
  <si>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</si>
  <si>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</si>
  <si>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</si>
  <si>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</si>
  <si>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</si>
  <si>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</si>
  <si>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</si>
  <si>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</si>
  <si>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</si>
  <si>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</si>
  <si>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</si>
  <si>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</si>
  <si>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</si>
  <si>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</si>
  <si>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</si>
  <si>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</si>
  <si>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</si>
  <si>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</si>
  <si>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</si>
  <si>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</si>
  <si>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</si>
  <si>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</si>
  <si>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</si>
  <si>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</si>
  <si>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</si>
  <si>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</si>
  <si>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</si>
  <si>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</si>
  <si>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</si>
  <si>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</si>
  <si>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</si>
  <si>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</si>
  <si>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</si>
  <si>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</si>
  <si>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</si>
  <si>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</si>
  <si>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</si>
  <si>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</si>
  <si>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</si>
  <si>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</si>
  <si>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</si>
  <si>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</si>
  <si>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</si>
  <si>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</si>
  <si>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</si>
  <si>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</si>
  <si>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</si>
  <si>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</si>
  <si>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</si>
  <si>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</si>
  <si>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</si>
  <si>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</si>
  <si>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</si>
  <si>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</si>
  <si>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</si>
  <si>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</si>
  <si>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</si>
  <si>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</si>
  <si>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</si>
  <si>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</si>
  <si>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</si>
  <si>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</si>
  <si>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</si>
  <si>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</si>
  <si>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</si>
  <si>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</si>
  <si>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</si>
  <si>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</si>
  <si>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</si>
  <si>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</si>
  <si>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</si>
  <si>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</si>
  <si>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</si>
  <si>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</si>
  <si>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</si>
  <si>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</si>
  <si>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</si>
  <si>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</si>
  <si>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</si>
  <si>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</si>
  <si>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</si>
  <si>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</si>
  <si>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</si>
  <si>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</si>
  <si>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</si>
  <si>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</si>
  <si>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</si>
  <si>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</si>
  <si>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</si>
  <si>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</si>
  <si>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</si>
  <si>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</si>
  <si>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</si>
  <si>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</si>
  <si>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</si>
  <si>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</si>
  <si>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</si>
  <si>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</si>
  <si>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</si>
  <si>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</si>
  <si>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</si>
  <si>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</si>
  <si>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</si>
  <si>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</si>
  <si>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</si>
  <si>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</si>
  <si>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</si>
  <si>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</si>
  <si>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</si>
  <si>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</si>
  <si>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</si>
  <si>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</si>
  <si>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</si>
  <si>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</si>
  <si>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</si>
  <si>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</si>
  <si>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</si>
  <si>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</si>
  <si>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</si>
  <si>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</si>
  <si>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</si>
  <si>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</si>
  <si>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</si>
  <si>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</si>
  <si>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</si>
  <si>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</si>
  <si>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</si>
  <si>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</si>
  <si>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</si>
  <si>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</si>
  <si>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</si>
  <si>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</si>
  <si>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</si>
  <si>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</si>
  <si>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</si>
  <si>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</si>
  <si>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</si>
  <si>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</si>
  <si>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</si>
  <si>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</si>
  <si>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</si>
  <si>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</si>
  <si>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</si>
  <si>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</si>
  <si>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</si>
  <si>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</si>
  <si>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</si>
  <si>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</si>
  <si>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</si>
  <si>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</si>
  <si>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</si>
  <si>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</si>
  <si>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</si>
  <si>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</si>
  <si>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</si>
  <si>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</si>
  <si>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</si>
  <si>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</si>
  <si>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</si>
  <si>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</si>
  <si>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</si>
  <si>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</si>
  <si>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</si>
  <si>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</si>
  <si>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</si>
  <si>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</si>
  <si>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</si>
  <si>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</si>
  <si>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</si>
  <si>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</si>
  <si>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</si>
  <si>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</si>
  <si>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</si>
  <si>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</si>
  <si>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</si>
  <si>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</si>
  <si>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</si>
  <si>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</si>
  <si>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</si>
  <si>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</si>
  <si>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</si>
  <si>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</si>
  <si>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</si>
  <si>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</si>
  <si>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</si>
  <si>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</si>
  <si>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</si>
  <si>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</si>
  <si>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</si>
  <si>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</si>
  <si>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</si>
  <si>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</si>
  <si>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</si>
  <si>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</si>
  <si>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</si>
  <si>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</si>
  <si>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</si>
  <si>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</si>
  <si>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</si>
  <si>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</si>
  <si>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</si>
  <si>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</si>
  <si>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</si>
  <si>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</si>
  <si>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</si>
  <si>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</si>
  <si>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</si>
  <si>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</si>
  <si>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</si>
  <si>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</si>
  <si>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</si>
  <si>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</si>
  <si>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</si>
  <si>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</si>
  <si>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</si>
  <si>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</si>
  <si>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</si>
  <si>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</si>
  <si>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</si>
  <si>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</si>
  <si>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</si>
  <si>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</si>
  <si>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</si>
  <si>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</si>
  <si>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</si>
  <si>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</si>
  <si>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</si>
  <si>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</si>
  <si>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</si>
  <si>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</si>
  <si>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</si>
  <si>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</si>
  <si>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</si>
  <si>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</si>
  <si>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</si>
  <si>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</si>
  <si>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</si>
  <si>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</si>
  <si>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</si>
  <si>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</si>
  <si>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</si>
  <si>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</si>
  <si>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</si>
  <si>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</si>
  <si>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</si>
  <si>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</si>
  <si>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</si>
  <si>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</si>
  <si>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</si>
  <si>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</si>
  <si>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</si>
  <si>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</si>
  <si>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</si>
  <si>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</si>
  <si>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</si>
  <si>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</si>
  <si>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</si>
  <si>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</si>
  <si>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</si>
  <si>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</si>
  <si>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</si>
  <si>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</si>
  <si>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</si>
  <si>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</si>
  <si>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</si>
  <si>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</si>
  <si>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</si>
  <si>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</si>
  <si>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</si>
  <si>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</si>
  <si>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</si>
  <si>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</si>
  <si>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</si>
  <si>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</si>
  <si>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</si>
  <si>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</si>
  <si>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</si>
  <si>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</si>
  <si>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</si>
  <si>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</si>
  <si>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</si>
  <si>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</si>
  <si>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</si>
  <si>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</si>
  <si>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</si>
  <si>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</si>
  <si>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</si>
  <si>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</si>
  <si>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</si>
  <si>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</si>
  <si>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</si>
  <si>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</si>
  <si>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</si>
  <si>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</si>
  <si>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</si>
  <si>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</si>
  <si>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</si>
  <si>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</si>
  <si>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</si>
  <si>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</si>
  <si>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</si>
  <si>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</si>
  <si>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</si>
  <si>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</si>
  <si>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</si>
  <si>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</si>
  <si>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</si>
  <si>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</si>
  <si>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</si>
  <si>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</si>
  <si>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</si>
  <si>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</si>
  <si>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</si>
  <si>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</si>
  <si>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</si>
  <si>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</si>
  <si>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</si>
  <si>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</si>
  <si>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</si>
  <si>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</si>
  <si>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</si>
  <si>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</si>
  <si>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</si>
  <si>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</si>
  <si>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</si>
  <si>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</si>
  <si>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</si>
  <si>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</si>
  <si>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</si>
  <si>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</si>
  <si>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</si>
  <si>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</si>
  <si>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</si>
  <si>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</si>
  <si>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</si>
  <si>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</si>
  <si>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</si>
  <si>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</si>
  <si>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</si>
  <si>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</si>
  <si>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</si>
  <si>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</si>
  <si>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</si>
  <si>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</si>
  <si>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</si>
  <si>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</si>
  <si>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</si>
  <si>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</si>
  <si>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</si>
  <si>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</si>
  <si>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</si>
  <si>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</si>
  <si>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</si>
  <si>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</si>
  <si>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</si>
  <si>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</si>
  <si>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</si>
  <si>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</si>
  <si>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</si>
  <si>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</si>
  <si>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</si>
  <si>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</si>
  <si>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</si>
  <si>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</si>
  <si>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</si>
  <si>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</si>
  <si>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</si>
  <si>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</si>
  <si>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</si>
  <si>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</si>
  <si>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</si>
  <si>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</si>
  <si>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</si>
  <si>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</si>
  <si>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</si>
  <si>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</si>
  <si>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</si>
  <si>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</si>
  <si>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</si>
  <si>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</si>
  <si>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</si>
  <si>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</si>
  <si>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</si>
  <si>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</si>
  <si>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</si>
  <si>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</si>
  <si>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</si>
  <si>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</si>
  <si>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</si>
  <si>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</si>
  <si>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</si>
  <si>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</si>
  <si>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</si>
  <si>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</si>
  <si>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</si>
  <si>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</si>
  <si>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</si>
  <si>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</si>
  <si>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</si>
  <si>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</si>
  <si>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</si>
  <si>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</si>
  <si>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</si>
  <si>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</si>
  <si>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</si>
  <si>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</si>
  <si>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</si>
  <si>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</si>
  <si>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</si>
  <si>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</si>
  <si>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</si>
  <si>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</si>
  <si>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</si>
  <si>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</si>
  <si>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</si>
  <si>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</si>
  <si>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</si>
  <si>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</si>
  <si>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</si>
  <si>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</si>
  <si>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</si>
  <si>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</si>
  <si>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</si>
  <si>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</si>
  <si>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</si>
  <si>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</si>
  <si>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</si>
  <si>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</si>
  <si>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</si>
  <si>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</si>
  <si>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</si>
  <si>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</si>
  <si>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</si>
  <si>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</si>
  <si>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</si>
  <si>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</si>
  <si>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</si>
  <si>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</si>
  <si>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</si>
  <si>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</si>
  <si>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</si>
  <si>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</si>
  <si>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</si>
  <si>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</si>
  <si>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</si>
  <si>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</si>
  <si>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</si>
  <si>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</si>
  <si>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</si>
  <si>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</si>
  <si>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</si>
  <si>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</si>
  <si>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</si>
  <si>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</si>
  <si>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</si>
  <si>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</si>
  <si>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</si>
  <si>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</si>
  <si>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</si>
  <si>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</si>
  <si>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</si>
  <si>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</si>
  <si>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</si>
  <si>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</si>
  <si>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</si>
  <si>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</si>
  <si>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</si>
  <si>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</si>
  <si>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</si>
  <si>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</si>
  <si>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</si>
  <si>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</si>
  <si>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</si>
  <si>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</si>
  <si>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</si>
  <si>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</si>
  <si>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</si>
  <si>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</si>
  <si>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</si>
  <si>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</si>
  <si>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</si>
  <si>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</si>
  <si>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</si>
  <si>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</si>
  <si>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</si>
  <si>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</si>
  <si>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</si>
  <si>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</si>
  <si>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</si>
  <si>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</si>
  <si>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</si>
  <si>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</si>
  <si>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</si>
  <si>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</si>
  <si>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</si>
  <si>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</si>
  <si>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</si>
  <si>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</si>
  <si>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</si>
  <si>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</si>
  <si>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</si>
  <si>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</si>
  <si>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</si>
  <si>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</si>
  <si>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</si>
  <si>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</si>
  <si>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</si>
  <si>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</si>
  <si>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</si>
  <si>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</si>
  <si>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</si>
  <si>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</si>
  <si>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</si>
  <si>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</si>
  <si>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</si>
  <si>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</si>
  <si>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</si>
  <si>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</si>
  <si>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</si>
  <si>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</si>
  <si>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</si>
  <si>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</si>
  <si>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</si>
  <si>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</si>
  <si>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</si>
  <si>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</si>
  <si>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</si>
  <si>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</si>
  <si>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</si>
  <si>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</si>
  <si>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</si>
  <si>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</si>
  <si>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</si>
  <si>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</si>
  <si>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</si>
  <si>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</si>
  <si>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</si>
  <si>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</si>
  <si>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</si>
  <si>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</si>
  <si>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</si>
  <si>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</si>
  <si>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</si>
  <si>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</si>
  <si>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</si>
  <si>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</si>
  <si>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</si>
  <si>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</si>
  <si>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</si>
  <si>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</si>
  <si>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</si>
  <si>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</si>
  <si>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</si>
  <si>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</si>
  <si>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</si>
  <si>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</si>
  <si>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</si>
  <si>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</si>
  <si>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</si>
  <si>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</si>
  <si>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</si>
  <si>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</si>
  <si>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</si>
  <si>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</si>
  <si>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</si>
  <si>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</si>
  <si>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</si>
  <si>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</si>
  <si>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</si>
  <si>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</si>
  <si>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</si>
  <si>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</si>
  <si>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</si>
  <si>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</si>
  <si>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</si>
  <si>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</si>
  <si>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</si>
  <si>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</si>
  <si>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</si>
  <si>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</si>
  <si>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</si>
  <si>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</si>
  <si>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</si>
  <si>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</si>
  <si>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</si>
  <si>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</si>
  <si>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</si>
  <si>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</si>
  <si>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</si>
  <si>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</si>
  <si>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</si>
  <si>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</si>
  <si>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</si>
  <si>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</si>
  <si>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</si>
  <si>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</si>
  <si>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</si>
  <si>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</si>
  <si>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</si>
  <si>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</si>
  <si>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</si>
  <si>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</si>
  <si>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</si>
  <si>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</si>
  <si>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</si>
  <si>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</si>
  <si>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</si>
  <si>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</si>
  <si>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</si>
  <si>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</si>
  <si>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</si>
  <si>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</si>
  <si>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</si>
  <si>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</si>
  <si>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</si>
  <si>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</si>
  <si>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</si>
  <si>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</si>
  <si>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</si>
  <si>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</si>
  <si>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</si>
  <si>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</si>
  <si>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</si>
  <si>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</si>
  <si>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</si>
  <si>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</si>
  <si>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</si>
  <si>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</si>
  <si>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</si>
  <si>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</si>
  <si>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</si>
  <si>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</si>
  <si>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</si>
  <si>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</si>
  <si>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</si>
  <si>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</si>
  <si>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</si>
  <si>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</si>
  <si>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</si>
  <si>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</si>
  <si>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</si>
  <si>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</si>
  <si>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</si>
  <si>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</si>
  <si>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</si>
  <si>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</si>
  <si>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</si>
  <si>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</si>
  <si>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</si>
  <si>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</si>
  <si>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</si>
  <si>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</si>
  <si>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</si>
  <si>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</si>
  <si>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</si>
  <si>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</si>
  <si>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</si>
  <si>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</si>
  <si>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</si>
  <si>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</si>
  <si>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</si>
  <si>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</si>
  <si>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</si>
  <si>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</si>
  <si>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</si>
  <si>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</si>
  <si>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</si>
  <si>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</si>
  <si>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</si>
  <si>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</si>
  <si>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</si>
  <si>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</si>
  <si>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</si>
  <si>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</si>
  <si>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</si>
  <si>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</si>
  <si>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</si>
  <si>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</si>
  <si>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</si>
  <si>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</si>
  <si>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</si>
  <si>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</si>
  <si>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</si>
  <si>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</si>
  <si>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</si>
  <si>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</si>
  <si>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</si>
  <si>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</si>
  <si>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</si>
  <si>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</si>
  <si>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</si>
  <si>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</si>
  <si>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</si>
  <si>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</si>
  <si>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</si>
  <si>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</si>
  <si>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</si>
  <si>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</si>
  <si>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</si>
  <si>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</si>
  <si>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</si>
  <si>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</si>
  <si>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</si>
  <si>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</si>
  <si>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</si>
  <si>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</si>
  <si>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</si>
  <si>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</si>
  <si>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</si>
  <si>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</si>
  <si>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</si>
  <si>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</si>
  <si>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</si>
  <si>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</si>
  <si>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</si>
  <si>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</si>
  <si>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</si>
  <si>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</si>
  <si>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</si>
  <si>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</si>
  <si>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</si>
  <si>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</si>
  <si>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</si>
  <si>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</si>
  <si>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</si>
  <si>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</si>
  <si>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</si>
  <si>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</si>
  <si>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</si>
  <si>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</si>
  <si>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</si>
  <si>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</si>
  <si>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</si>
  <si>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</si>
  <si>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</si>
  <si>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</si>
  <si>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</si>
  <si>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</si>
  <si>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</si>
  <si>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</si>
  <si>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</si>
  <si>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</si>
  <si>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</si>
  <si>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</si>
  <si>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</si>
  <si>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</si>
  <si>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</si>
  <si>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</si>
  <si>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</si>
  <si>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</si>
  <si>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</si>
  <si>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</si>
  <si>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</si>
  <si>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</si>
  <si>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</si>
  <si>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</si>
  <si>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</si>
  <si>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</si>
  <si>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</si>
  <si>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</si>
  <si>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</si>
  <si>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</si>
  <si>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</si>
  <si>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</si>
  <si>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</si>
  <si>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</si>
  <si>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</si>
  <si>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</si>
  <si>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</si>
  <si>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</si>
  <si>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</si>
  <si>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</si>
  <si>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</si>
  <si>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</si>
  <si>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</si>
  <si>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</si>
  <si>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</si>
  <si>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</si>
  <si>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</si>
  <si>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</si>
  <si>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</si>
  <si>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</si>
  <si>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</si>
  <si>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</si>
  <si>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</si>
  <si>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</si>
  <si>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</si>
  <si>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</si>
  <si>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</si>
  <si>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</si>
  <si>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</si>
  <si>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</si>
  <si>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</si>
  <si>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</si>
  <si>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</si>
  <si>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</si>
  <si>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</si>
  <si>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</si>
  <si>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</si>
  <si>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</si>
  <si>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</si>
  <si>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</si>
  <si>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</si>
  <si>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</si>
  <si>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</si>
  <si>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</si>
  <si>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</si>
  <si>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</si>
  <si>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</si>
  <si>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</si>
  <si>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</si>
  <si>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</si>
  <si>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</si>
  <si>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</si>
  <si>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</si>
  <si>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</si>
  <si>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</si>
  <si>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</si>
  <si>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</si>
  <si>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</si>
  <si>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</si>
  <si>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</si>
  <si>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</si>
  <si>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</si>
  <si>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</si>
  <si>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</si>
  <si>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</si>
  <si>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</si>
  <si>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</si>
  <si>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</si>
  <si>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</si>
  <si>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</si>
  <si>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</si>
  <si>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</si>
  <si>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</si>
  <si>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</si>
  <si>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</si>
  <si>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</si>
  <si>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</si>
  <si>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</si>
  <si>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</si>
  <si>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</si>
  <si>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</si>
  <si>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</si>
  <si>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</si>
  <si>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</si>
  <si>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</si>
  <si>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</si>
  <si>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</si>
  <si>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</si>
  <si>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</si>
  <si>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</si>
  <si>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</si>
  <si>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</si>
  <si>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</si>
  <si>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</si>
  <si>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</si>
  <si>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</si>
  <si>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</si>
  <si>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</si>
  <si>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</si>
  <si>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</si>
  <si>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</si>
  <si>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</si>
  <si>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</si>
  <si>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</si>
  <si>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</si>
  <si>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</si>
  <si>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</si>
  <si>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</si>
  <si>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</si>
  <si>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</si>
  <si>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</si>
  <si>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</si>
  <si>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</si>
  <si>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</si>
  <si>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</si>
  <si>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</si>
  <si>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</si>
  <si>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</si>
  <si>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</si>
  <si>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</si>
  <si>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</si>
  <si>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</si>
  <si>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</si>
  <si>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</si>
  <si>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</si>
  <si>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</si>
  <si>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</si>
  <si>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</si>
  <si>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</si>
  <si>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</si>
  <si>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</si>
  <si>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</si>
  <si>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</si>
  <si>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</si>
  <si>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</si>
  <si>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</si>
  <si>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</si>
  <si>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</si>
  <si>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</si>
  <si>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</si>
  <si>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</si>
  <si>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</si>
  <si>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</si>
  <si>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</si>
  <si>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</si>
  <si>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</si>
  <si>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</si>
  <si>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</si>
  <si>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</si>
  <si>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</si>
  <si>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</si>
  <si>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</si>
  <si>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</si>
  <si>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</si>
  <si>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</si>
  <si>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</si>
  <si>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</si>
  <si>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</si>
  <si>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</si>
  <si>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</si>
  <si>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</si>
  <si>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</si>
  <si>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</si>
  <si>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</si>
  <si>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</si>
  <si>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</si>
  <si>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</si>
  <si>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</si>
  <si>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</si>
  <si>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</si>
  <si>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</si>
  <si>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</si>
  <si>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</si>
  <si>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</si>
  <si>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</si>
  <si>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</si>
  <si>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</si>
  <si>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</si>
  <si>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</si>
  <si>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</si>
  <si>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</si>
  <si>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</si>
  <si>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</si>
  <si>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</si>
  <si>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</si>
  <si>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</si>
  <si>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</si>
  <si>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</si>
  <si>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</si>
  <si>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</si>
  <si>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</si>
  <si>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</si>
  <si>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</si>
  <si>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</si>
  <si>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</si>
  <si>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</si>
  <si>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</si>
  <si>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</si>
  <si>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</si>
  <si>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</si>
  <si>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</si>
  <si>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</si>
  <si>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</si>
  <si>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</si>
  <si>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</si>
  <si>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</si>
  <si>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</si>
  <si>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</si>
  <si>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</si>
  <si>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</si>
  <si>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</si>
  <si>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</si>
  <si>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</si>
  <si>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</si>
  <si>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</si>
  <si>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</si>
  <si>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</si>
  <si>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</si>
  <si>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</si>
  <si>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</si>
  <si>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</si>
  <si>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</si>
  <si>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</si>
  <si>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</si>
  <si>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</si>
  <si>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</si>
  <si>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</si>
  <si>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</si>
  <si>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</si>
  <si>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</si>
  <si>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</si>
  <si>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</si>
  <si>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</si>
  <si>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</si>
  <si>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</si>
  <si>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</si>
  <si>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</si>
  <si>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</si>
  <si>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</si>
  <si>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</si>
  <si>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</si>
  <si>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</si>
  <si>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</si>
  <si>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</si>
  <si>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</si>
  <si>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</si>
  <si>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</si>
  <si>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</si>
  <si>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</si>
  <si>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</si>
  <si>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</si>
  <si>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</si>
  <si>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</si>
  <si>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</si>
  <si>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</si>
  <si>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</si>
  <si>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</si>
  <si>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</si>
  <si>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</si>
  <si>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</si>
  <si>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</si>
  <si>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</si>
  <si>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</si>
  <si>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</si>
  <si>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</si>
  <si>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</si>
  <si>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</si>
  <si>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</si>
  <si>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</si>
  <si>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</si>
  <si>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</si>
  <si>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</si>
  <si>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</si>
  <si>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</si>
  <si>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</si>
  <si>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</si>
  <si>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</si>
  <si>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</si>
  <si>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</si>
  <si>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</si>
  <si>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</si>
  <si>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</si>
  <si>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</si>
  <si>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</si>
  <si>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</si>
  <si>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</si>
  <si>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</si>
  <si>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</si>
  <si>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</si>
  <si>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</si>
  <si>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</si>
  <si>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</si>
  <si>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</si>
  <si>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</si>
  <si>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</si>
  <si>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</si>
  <si>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</si>
  <si>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</si>
  <si>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</si>
  <si>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</si>
  <si>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</si>
  <si>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</si>
  <si>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</si>
  <si>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</si>
  <si>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</si>
  <si>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</si>
  <si>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</si>
  <si>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</si>
  <si>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</si>
  <si>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</si>
  <si>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</si>
  <si>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</si>
  <si>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</si>
  <si>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</si>
  <si>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</si>
  <si>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</si>
  <si>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</si>
  <si>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</si>
  <si>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</si>
  <si>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</si>
  <si>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</si>
  <si>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</si>
  <si>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</si>
  <si>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</si>
  <si>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</si>
  <si>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</si>
  <si>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</si>
  <si>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</si>
  <si>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</si>
  <si>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</si>
  <si>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</si>
  <si>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</si>
  <si>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</si>
  <si>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</si>
  <si>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</si>
  <si>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</si>
  <si>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</si>
  <si>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</si>
  <si>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</si>
  <si>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</si>
  <si>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</si>
  <si>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</si>
  <si>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</si>
  <si>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</si>
  <si>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</si>
  <si>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</si>
  <si>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</si>
  <si>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</si>
  <si>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</si>
  <si>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</si>
  <si>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</si>
  <si>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</si>
  <si>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</si>
  <si>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</si>
  <si>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</si>
  <si>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</si>
  <si>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</si>
  <si>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</si>
  <si>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</si>
  <si>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</si>
  <si>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</si>
  <si>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</si>
  <si>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</si>
  <si>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</si>
  <si>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</si>
  <si>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</si>
  <si>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</si>
  <si>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</si>
  <si>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</si>
  <si>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</si>
  <si>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</si>
  <si>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</si>
  <si>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</si>
  <si>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</si>
  <si>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</si>
  <si>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</si>
  <si>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</si>
  <si>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</si>
  <si>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</si>
  <si>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</si>
  <si>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</si>
  <si>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</si>
  <si>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</si>
  <si>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</si>
  <si>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</si>
  <si>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</si>
  <si>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</si>
  <si>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</si>
  <si>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</si>
  <si>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</si>
  <si>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</si>
  <si>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</si>
  <si>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</si>
  <si>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</si>
  <si>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</si>
  <si>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</si>
  <si>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</si>
  <si>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</si>
  <si>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</si>
  <si>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</si>
  <si>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</si>
  <si>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</si>
  <si>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</si>
  <si>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</si>
  <si>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</si>
  <si>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</si>
  <si>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</si>
  <si>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</si>
  <si>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</si>
  <si>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</si>
  <si>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</si>
  <si>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</si>
  <si>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</si>
  <si>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</si>
  <si>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</si>
  <si>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</si>
  <si>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</si>
  <si>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</si>
  <si>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</si>
  <si>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</si>
  <si>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</si>
  <si>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</si>
  <si>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</si>
  <si>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</si>
  <si>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</si>
  <si>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</si>
  <si>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</si>
  <si>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</si>
  <si>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</si>
  <si>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</si>
  <si>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</si>
  <si>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</si>
  <si>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</si>
  <si>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</si>
  <si>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</si>
  <si>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</si>
  <si>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</si>
  <si>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</si>
  <si>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</si>
  <si>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</si>
  <si>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</si>
  <si>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</si>
  <si>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</si>
  <si>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</si>
  <si>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</si>
  <si>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</si>
  <si>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</si>
  <si>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</si>
  <si>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</si>
  <si>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</si>
  <si>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</si>
  <si>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</si>
  <si>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</si>
  <si>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</si>
  <si>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</si>
  <si>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</si>
  <si>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</si>
  <si>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</si>
  <si>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</si>
  <si>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</si>
  <si>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</si>
  <si>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</si>
  <si>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</si>
  <si>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</si>
  <si>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</si>
  <si>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</si>
  <si>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</si>
  <si>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</si>
  <si>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</si>
  <si>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</si>
  <si>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</si>
  <si>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</si>
  <si>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</si>
  <si>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</si>
  <si>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</si>
  <si>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</si>
  <si>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</si>
  <si>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</si>
  <si>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</si>
  <si>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</si>
  <si>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</si>
  <si>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</si>
  <si>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</si>
  <si>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</si>
  <si>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</si>
  <si>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</si>
  <si>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</si>
  <si>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</si>
  <si>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</si>
  <si>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</si>
  <si>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</si>
  <si>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</si>
  <si>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</si>
  <si>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</si>
  <si>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</si>
  <si>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</si>
  <si>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</si>
  <si>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</si>
  <si>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</si>
  <si>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</si>
  <si>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</si>
  <si>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</si>
  <si>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</si>
  <si>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</si>
  <si>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</si>
  <si>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</si>
  <si>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</si>
  <si>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</si>
  <si>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</si>
  <si>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</si>
  <si>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</si>
  <si>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</si>
  <si>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</si>
  <si>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</si>
  <si>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</si>
  <si>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</si>
  <si>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</si>
  <si>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</si>
  <si>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</si>
  <si>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</si>
  <si>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</si>
  <si>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</si>
  <si>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</si>
  <si>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</si>
  <si>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</si>
  <si>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</si>
  <si>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</si>
  <si>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</si>
  <si>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</si>
  <si>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</si>
  <si>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</si>
  <si>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</si>
  <si>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</si>
  <si>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</si>
  <si>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</si>
  <si>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</si>
  <si>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</si>
  <si>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</si>
  <si>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</si>
  <si>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</si>
  <si>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</si>
  <si>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</si>
  <si>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</si>
  <si>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</si>
  <si>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</si>
  <si>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</si>
  <si>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</si>
  <si>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</si>
  <si>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</si>
  <si>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</si>
  <si>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</si>
  <si>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</si>
  <si>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</si>
  <si>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</si>
  <si>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</si>
  <si>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</si>
  <si>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</si>
  <si>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</si>
  <si>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</si>
  <si>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</si>
  <si>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</si>
  <si>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</si>
  <si>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</si>
  <si>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</si>
  <si>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</si>
  <si>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</si>
  <si>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</si>
  <si>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</si>
  <si>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</si>
  <si>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</si>
  <si>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</si>
  <si>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</si>
  <si>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</si>
  <si>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</si>
  <si>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</si>
  <si>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</si>
  <si>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</si>
  <si>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</si>
  <si>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</si>
  <si>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</si>
  <si>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</si>
  <si>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</si>
  <si>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</si>
  <si>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</si>
  <si>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</si>
  <si>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</si>
  <si>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</si>
  <si>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</si>
  <si>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</si>
  <si>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</si>
  <si>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</si>
  <si>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</si>
  <si>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</si>
  <si>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</si>
  <si>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</si>
  <si>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</si>
  <si>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</si>
  <si>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</si>
  <si>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</si>
  <si>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</si>
  <si>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</si>
  <si>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</si>
  <si>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</si>
  <si>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</si>
  <si>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</si>
  <si>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</si>
  <si>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</si>
  <si>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</si>
  <si>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</si>
  <si>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</si>
  <si>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</si>
  <si>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</si>
  <si>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</si>
  <si>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</si>
  <si>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</si>
  <si>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</si>
  <si>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</si>
  <si>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</si>
  <si>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</si>
  <si>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</si>
  <si>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</si>
  <si>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</si>
  <si>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</si>
  <si>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</si>
  <si>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</si>
  <si>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</si>
  <si>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</si>
  <si>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</si>
  <si>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</si>
  <si>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</si>
  <si>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</si>
  <si>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</si>
  <si>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</si>
  <si>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</si>
  <si>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</si>
  <si>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</si>
  <si>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</si>
  <si>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</si>
  <si>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</si>
  <si>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</si>
  <si>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</si>
  <si>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</si>
  <si>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</si>
  <si>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</si>
  <si>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</si>
  <si>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</si>
  <si>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</si>
  <si>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</si>
  <si>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</si>
  <si>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</si>
  <si>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</si>
  <si>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</si>
  <si>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</si>
  <si>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</si>
  <si>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</si>
  <si>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</si>
  <si>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</si>
  <si>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</si>
  <si>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</si>
  <si>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</si>
  <si>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</si>
  <si>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</si>
  <si>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</si>
  <si>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</si>
  <si>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</si>
  <si>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</si>
  <si>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</si>
  <si>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</si>
  <si>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</si>
  <si>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</si>
  <si>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</si>
  <si>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</si>
  <si>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</si>
  <si>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</si>
  <si>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</si>
  <si>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</si>
  <si>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</si>
  <si>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</si>
  <si>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</si>
  <si>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</si>
  <si>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</si>
  <si>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</si>
  <si>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</si>
  <si>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</si>
  <si>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</si>
  <si>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</si>
  <si>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</si>
  <si>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</si>
  <si>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</si>
  <si>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</si>
  <si>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</si>
  <si>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</si>
  <si>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</si>
  <si>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</si>
  <si>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</si>
  <si>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</si>
  <si>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</si>
  <si>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</si>
  <si>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</si>
  <si>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</si>
  <si>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</si>
  <si>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</si>
  <si>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</si>
  <si>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</si>
  <si>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</si>
  <si>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</si>
  <si>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</si>
  <si>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</si>
  <si>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</si>
  <si>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</si>
  <si>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</si>
  <si>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</si>
  <si>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</si>
  <si>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</si>
  <si>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</si>
  <si>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</si>
  <si>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</si>
  <si>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</si>
  <si>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</si>
  <si>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</si>
  <si>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</si>
  <si>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</si>
  <si>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</si>
  <si>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</si>
  <si>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</si>
  <si>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</si>
  <si>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</si>
  <si>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</si>
  <si>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</si>
  <si>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</si>
  <si>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</si>
  <si>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</si>
  <si>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</si>
  <si>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</si>
  <si>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</si>
  <si>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</si>
  <si>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</si>
  <si>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</si>
  <si>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</si>
  <si>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</si>
  <si>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</si>
  <si>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</si>
  <si>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</si>
  <si>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</si>
  <si>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</si>
  <si>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</si>
  <si>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</si>
  <si>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</si>
  <si>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</si>
  <si>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</si>
  <si>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</si>
  <si>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</si>
  <si>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</si>
  <si>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</si>
  <si>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</si>
  <si>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</si>
  <si>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</si>
  <si>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</si>
  <si>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</si>
  <si>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</si>
  <si>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</si>
  <si>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</si>
  <si>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</si>
  <si>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</si>
  <si>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</si>
  <si>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</si>
  <si>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</si>
  <si>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</si>
  <si>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</si>
  <si>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</si>
  <si>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</si>
  <si>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</si>
  <si>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</si>
  <si>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</si>
  <si>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</si>
  <si>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</si>
  <si>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</si>
  <si>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</si>
  <si>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</si>
  <si>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</si>
  <si>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</si>
  <si>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</si>
  <si>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</si>
  <si>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</si>
  <si>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</si>
  <si>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</si>
  <si>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</si>
  <si>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</si>
  <si>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</si>
  <si>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</si>
  <si>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</si>
  <si>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</si>
  <si>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</si>
  <si>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</si>
  <si>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</si>
  <si>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</si>
  <si>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</si>
  <si>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</si>
  <si>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</si>
  <si>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</si>
  <si>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</si>
  <si>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</si>
  <si>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</si>
  <si>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</si>
  <si>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</si>
  <si>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</si>
  <si>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</si>
  <si>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</si>
  <si>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</si>
  <si>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</si>
  <si>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</si>
  <si>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</si>
  <si>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</si>
  <si>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</si>
  <si>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</si>
  <si>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</si>
  <si>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</si>
  <si>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</si>
  <si>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</si>
  <si>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</si>
  <si>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</si>
  <si>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</si>
  <si>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</si>
  <si>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</si>
  <si>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</si>
  <si>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</si>
  <si>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</si>
  <si>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</si>
  <si>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</si>
  <si>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</si>
  <si>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</si>
  <si>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</si>
  <si>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</si>
  <si>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</si>
  <si>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</si>
  <si>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</si>
  <si>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</si>
  <si>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</si>
  <si>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</si>
  <si>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</si>
  <si>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</si>
  <si>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</si>
  <si>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</si>
  <si>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</si>
  <si>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</si>
  <si>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</si>
  <si>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</si>
  <si>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</si>
  <si>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</si>
  <si>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</si>
  <si>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</si>
  <si>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</si>
  <si>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</si>
  <si>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</si>
  <si>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</si>
  <si>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</si>
  <si>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</si>
  <si>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</si>
  <si>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</si>
  <si>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</si>
  <si>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</si>
  <si>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</si>
  <si>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</si>
  <si>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</si>
  <si>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</si>
  <si>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</si>
  <si>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</si>
  <si>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</si>
  <si>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</si>
  <si>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</si>
  <si>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</si>
  <si>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</si>
  <si>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</si>
  <si>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</si>
  <si>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</si>
  <si>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</si>
  <si>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</si>
  <si>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</si>
  <si>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</si>
  <si>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</si>
  <si>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</si>
  <si>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</si>
  <si>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</si>
  <si>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</si>
  <si>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</si>
  <si>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</si>
  <si>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</si>
  <si>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</si>
  <si>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</si>
  <si>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</si>
  <si>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</si>
  <si>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</si>
  <si>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</si>
  <si>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</si>
  <si>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</si>
  <si>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</si>
  <si>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</si>
  <si>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</si>
  <si>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</si>
  <si>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</si>
  <si>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</si>
  <si>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</si>
  <si>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</si>
  <si>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</si>
  <si>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</si>
  <si>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</si>
  <si>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</si>
  <si>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</si>
  <si>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</si>
  <si>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</si>
  <si>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</si>
  <si>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</si>
  <si>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</si>
  <si>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</si>
  <si>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</si>
  <si>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</si>
  <si>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</si>
  <si>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</si>
  <si>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</si>
  <si>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</si>
  <si>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</si>
  <si>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</si>
  <si>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</si>
  <si>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</si>
  <si>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</si>
  <si>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</si>
  <si>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</si>
  <si>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</si>
  <si>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</si>
  <si>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</si>
  <si>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</si>
  <si>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</si>
  <si>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</si>
  <si>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</si>
  <si>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</si>
  <si>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</si>
  <si>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</si>
  <si>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</si>
  <si>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</si>
  <si>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</si>
  <si>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</si>
  <si>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</si>
  <si>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</si>
  <si>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</si>
  <si>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</si>
  <si>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</si>
  <si>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</si>
  <si>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</si>
  <si>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</si>
  <si>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</si>
  <si>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</si>
  <si>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</si>
  <si>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</si>
  <si>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</si>
  <si>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</si>
  <si>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</si>
  <si>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</si>
  <si>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</si>
  <si>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</si>
  <si>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</si>
  <si>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</si>
  <si>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</si>
  <si>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</si>
  <si>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</si>
  <si>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</si>
  <si>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</si>
  <si>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</si>
  <si>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</si>
  <si>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</si>
  <si>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</si>
  <si>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</si>
  <si>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</si>
  <si>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</si>
  <si>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</si>
  <si>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</si>
  <si>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</si>
  <si>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</si>
  <si>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</si>
  <si>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</si>
  <si>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</si>
  <si>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</si>
  <si>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</si>
  <si>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</si>
  <si>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</si>
  <si>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</si>
  <si>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</si>
  <si>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</si>
  <si>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</si>
  <si>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</si>
  <si>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</si>
  <si>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</si>
  <si>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</si>
  <si>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</si>
  <si>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</si>
  <si>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</si>
  <si>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</si>
  <si>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</si>
  <si>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</si>
  <si>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</si>
  <si>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</si>
  <si>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</si>
  <si>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</si>
  <si>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</si>
  <si>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</si>
  <si>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</si>
  <si>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</si>
  <si>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</si>
  <si>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</si>
  <si>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</si>
  <si>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</si>
  <si>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</si>
  <si>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</si>
  <si>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</si>
  <si>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</si>
  <si>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</si>
  <si>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</si>
  <si>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</si>
  <si>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</si>
  <si>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</si>
  <si>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</si>
  <si>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</si>
  <si>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</si>
  <si>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</si>
  <si>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</si>
  <si>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</si>
  <si>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</si>
  <si>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</si>
  <si>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</si>
  <si>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</si>
  <si>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</si>
  <si>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</si>
  <si>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</si>
  <si>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</si>
  <si>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</si>
  <si>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</si>
  <si>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</si>
  <si>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</si>
  <si>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</si>
  <si>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</si>
  <si>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</si>
  <si>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</si>
  <si>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</si>
  <si>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</si>
  <si>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</si>
  <si>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</si>
  <si>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</si>
  <si>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</si>
  <si>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</si>
  <si>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</si>
  <si>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</si>
  <si>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</si>
  <si>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</si>
  <si>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</si>
  <si>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</si>
  <si>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</si>
  <si>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</si>
  <si>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</si>
  <si>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</si>
  <si>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</si>
  <si>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</si>
  <si>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</si>
  <si>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</si>
  <si>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</si>
  <si>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</si>
  <si>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</si>
  <si>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</si>
  <si>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</si>
  <si>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</si>
  <si>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</si>
  <si>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</si>
  <si>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</si>
  <si>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</si>
  <si>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</si>
  <si>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</si>
  <si>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</si>
  <si>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</si>
  <si>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</si>
  <si>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</si>
  <si>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</si>
  <si>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</si>
  <si>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</si>
  <si>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</si>
  <si>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</si>
  <si>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</si>
  <si>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</si>
  <si>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</si>
  <si>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</si>
  <si>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</si>
  <si>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</si>
  <si>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</si>
  <si>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</si>
  <si>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</si>
  <si>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</si>
  <si>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</si>
  <si>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</si>
  <si>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</si>
  <si>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</si>
  <si>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</si>
  <si>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</si>
  <si>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</si>
  <si>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</si>
  <si>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</si>
  <si>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</si>
  <si>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</si>
  <si>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</si>
  <si>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</si>
  <si>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</si>
  <si>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</si>
  <si>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</si>
  <si>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</si>
  <si>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</si>
  <si>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</si>
  <si>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</si>
  <si>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</si>
  <si>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</si>
  <si>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</si>
  <si>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</si>
  <si>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</si>
  <si>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</si>
  <si>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</si>
  <si>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</si>
  <si>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</si>
  <si>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</si>
  <si>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</si>
  <si>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</si>
  <si>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</si>
  <si>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</si>
  <si>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</si>
  <si>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</si>
  <si>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</si>
  <si>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</si>
  <si>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</si>
  <si>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</si>
  <si>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</si>
  <si>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</si>
  <si>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</si>
  <si>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</si>
  <si>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</si>
  <si>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</si>
  <si>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</si>
  <si>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</si>
  <si>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</si>
  <si>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</si>
  <si>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</si>
  <si>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</si>
  <si>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</si>
  <si>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</si>
  <si>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</si>
  <si>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</si>
  <si>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</si>
  <si>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</si>
  <si>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</si>
  <si>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</si>
  <si>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</si>
  <si>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</si>
  <si>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</si>
  <si>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</si>
  <si>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</si>
  <si>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</si>
  <si>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</si>
  <si>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</si>
  <si>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</si>
  <si>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</si>
  <si>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</si>
  <si>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</si>
  <si>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</si>
  <si>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</si>
  <si>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</si>
  <si>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</si>
  <si>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</si>
  <si>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</si>
  <si>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</si>
  <si>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</si>
  <si>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</si>
  <si>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</si>
  <si>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</si>
  <si>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</si>
  <si>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</si>
  <si>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</si>
  <si>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</si>
  <si>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</si>
  <si>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</si>
  <si>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</si>
  <si>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</si>
  <si>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</si>
  <si>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</si>
  <si>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</si>
  <si>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</si>
  <si>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</si>
  <si>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</si>
  <si>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</si>
  <si>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</si>
  <si>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</si>
  <si>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</si>
  <si>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</si>
  <si>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</si>
  <si>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</si>
  <si>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</si>
  <si>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</si>
  <si>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</si>
  <si>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</si>
  <si>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</si>
  <si>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</si>
  <si>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</si>
  <si>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</si>
  <si>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</si>
  <si>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</si>
  <si>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</si>
  <si>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</si>
  <si>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</si>
  <si>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</si>
  <si>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</si>
  <si>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</si>
  <si>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</si>
  <si>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</si>
  <si>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</si>
  <si>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</si>
  <si>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</si>
  <si>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</si>
  <si>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</si>
  <si>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</si>
  <si>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</si>
  <si>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</si>
  <si>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</si>
  <si>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</si>
  <si>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</si>
  <si>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</si>
  <si>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</si>
  <si>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</si>
  <si>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</si>
  <si>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</si>
  <si>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</si>
  <si>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</si>
  <si>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</si>
  <si>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</si>
  <si>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</si>
  <si>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</si>
  <si>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</si>
  <si>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</si>
  <si>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</si>
  <si>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</si>
  <si>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</si>
  <si>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</si>
  <si>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</si>
  <si>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</si>
  <si>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</si>
  <si>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</si>
  <si>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</si>
  <si>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</si>
  <si>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</si>
  <si>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</si>
  <si>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</si>
  <si>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</si>
  <si>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</si>
  <si>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</si>
  <si>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</si>
  <si>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</si>
  <si>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</si>
  <si>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</si>
  <si>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</si>
  <si>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</si>
  <si>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</si>
  <si>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</si>
  <si>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</si>
  <si>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</si>
  <si>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</si>
  <si>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</si>
  <si>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</si>
  <si>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</si>
  <si>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</si>
  <si>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</si>
  <si>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</si>
  <si>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</si>
  <si>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</si>
  <si>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</si>
  <si>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</si>
  <si>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</si>
  <si>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</si>
  <si>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</si>
  <si>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</si>
  <si>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</si>
  <si>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</si>
  <si>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</si>
  <si>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</si>
  <si>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</si>
  <si>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</si>
  <si>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</si>
  <si>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</si>
  <si>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</si>
  <si>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</si>
  <si>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</si>
  <si>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</si>
  <si>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</si>
  <si>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</si>
  <si>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</si>
  <si>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</si>
  <si>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</si>
  <si>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</si>
  <si>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</si>
  <si>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</si>
  <si>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</si>
  <si>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</si>
  <si>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</si>
  <si>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</si>
  <si>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</si>
  <si>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</si>
  <si>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</si>
  <si>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</si>
  <si>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</si>
  <si>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</si>
  <si>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</si>
  <si>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</si>
  <si>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</si>
  <si>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</si>
  <si>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</si>
  <si>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</si>
  <si>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</si>
  <si>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</si>
  <si>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</si>
  <si>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</si>
  <si>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</si>
  <si>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</si>
  <si>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</si>
  <si>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</si>
  <si>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</si>
  <si>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</si>
  <si>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</si>
  <si>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</si>
  <si>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</si>
  <si>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</si>
  <si>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</si>
  <si>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</si>
  <si>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</si>
  <si>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</si>
  <si>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</si>
  <si>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</si>
  <si>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</si>
  <si>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</si>
  <si>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</si>
  <si>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</si>
  <si>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</si>
  <si>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</si>
  <si>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</si>
  <si>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</si>
  <si>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</si>
  <si>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</si>
  <si>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</si>
  <si>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</si>
  <si>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</si>
  <si>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</si>
  <si>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</si>
  <si>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</si>
  <si>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</si>
  <si>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</si>
  <si>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</si>
  <si>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</si>
  <si>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</si>
  <si>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</si>
  <si>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</si>
  <si>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</si>
  <si>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</si>
  <si>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</si>
  <si>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</si>
  <si>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</si>
  <si>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</si>
  <si>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</si>
  <si>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</si>
  <si>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</si>
  <si>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</si>
  <si>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</si>
  <si>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</si>
  <si>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</si>
  <si>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</si>
  <si>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</si>
  <si>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</si>
  <si>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</si>
  <si>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</si>
  <si>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</si>
  <si>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</si>
  <si>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</si>
  <si>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</si>
  <si>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</si>
  <si>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</si>
  <si>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</si>
  <si>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</si>
  <si>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</si>
  <si>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</si>
  <si>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</si>
  <si>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</si>
  <si>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</si>
  <si>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</si>
  <si>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</si>
  <si>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</si>
  <si>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</si>
  <si>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</si>
  <si>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</si>
  <si>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</si>
  <si>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</si>
  <si>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</si>
  <si>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</si>
  <si>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</si>
  <si>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</si>
  <si>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</si>
  <si>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</si>
  <si>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</si>
  <si>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</si>
  <si>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</si>
  <si>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</si>
  <si>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</si>
  <si>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</si>
  <si>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</si>
  <si>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</si>
  <si>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</si>
  <si>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</si>
  <si>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</si>
  <si>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</si>
  <si>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</si>
  <si>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</si>
  <si>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</si>
  <si>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</si>
  <si>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</si>
  <si>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</si>
  <si>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</si>
  <si>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</si>
  <si>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</si>
  <si>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</si>
  <si>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</si>
  <si>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</si>
  <si>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</si>
  <si>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</si>
  <si>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</si>
  <si>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</si>
  <si>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</si>
  <si>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</si>
  <si>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</si>
  <si>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</si>
  <si>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</si>
  <si>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</si>
  <si>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</si>
  <si>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</si>
  <si>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</si>
  <si>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</si>
  <si>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</si>
  <si>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</si>
  <si>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</si>
  <si>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</si>
  <si>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</si>
  <si>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</si>
  <si>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</si>
  <si>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</si>
  <si>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</si>
  <si>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</si>
  <si>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</si>
  <si>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</si>
  <si>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</si>
  <si>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</si>
  <si>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</si>
  <si>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</si>
  <si>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</si>
  <si>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</si>
  <si>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</si>
  <si>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</si>
  <si>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</si>
  <si>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</si>
  <si>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</si>
  <si>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</si>
  <si>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</si>
  <si>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</si>
  <si>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</si>
  <si>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</si>
  <si>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</si>
  <si>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</si>
  <si>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</si>
  <si>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</si>
  <si>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</si>
  <si>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</si>
  <si>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</si>
  <si>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</si>
  <si>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</si>
  <si>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</si>
  <si>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</si>
  <si>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</si>
  <si>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</si>
  <si>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</si>
  <si>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</si>
  <si>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</si>
  <si>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</si>
  <si>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</si>
  <si>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</si>
  <si>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</si>
  <si>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</si>
  <si>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</si>
  <si>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</si>
  <si>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</si>
  <si>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</si>
  <si>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</si>
  <si>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</si>
  <si>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</si>
  <si>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</si>
  <si>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</si>
  <si>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</si>
  <si>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</si>
  <si>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</si>
  <si>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</si>
  <si>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</si>
  <si>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</si>
  <si>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</si>
  <si>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</si>
  <si>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</si>
  <si>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</si>
  <si>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</si>
  <si>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</si>
  <si>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</si>
  <si>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</si>
  <si>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</si>
  <si>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</si>
  <si>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</si>
  <si>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</si>
  <si>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</si>
  <si>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</si>
  <si>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</si>
  <si>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</si>
  <si>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</si>
  <si>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</si>
  <si>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</si>
  <si>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</si>
  <si>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</si>
  <si>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</si>
  <si>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</si>
  <si>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</si>
  <si>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</si>
  <si>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</si>
  <si>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</si>
  <si>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</si>
  <si>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</si>
  <si>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</si>
  <si>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</si>
  <si>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</si>
  <si>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</si>
  <si>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</si>
  <si>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</si>
  <si>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</si>
  <si>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</si>
  <si>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</si>
  <si>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</si>
  <si>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</si>
  <si>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</si>
  <si>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</si>
  <si>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</si>
  <si>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</si>
  <si>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</si>
  <si>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</si>
  <si>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</si>
  <si>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</si>
  <si>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</si>
  <si>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</si>
  <si>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</si>
  <si>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</si>
  <si>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</si>
  <si>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</si>
  <si>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</si>
  <si>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</si>
  <si>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</si>
  <si>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</si>
  <si>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</si>
  <si>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</si>
  <si>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</si>
  <si>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</si>
  <si>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</si>
  <si>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</si>
  <si>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</si>
  <si>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</si>
  <si>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</si>
  <si>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</si>
  <si>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</si>
  <si>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</si>
  <si>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</si>
  <si>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</si>
  <si>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</si>
  <si>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</si>
  <si>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</si>
  <si>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</si>
  <si>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</si>
  <si>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</si>
  <si>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</si>
  <si>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</si>
  <si>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</si>
  <si>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</si>
  <si>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</si>
  <si>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</si>
  <si>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</si>
  <si>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</si>
  <si>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</si>
  <si>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</si>
  <si>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</si>
  <si>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</si>
  <si>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</si>
  <si>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</si>
  <si>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</si>
  <si>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</si>
  <si>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</si>
  <si>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</si>
  <si>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</si>
  <si>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</si>
  <si>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</si>
  <si>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</si>
  <si>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</si>
  <si>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</si>
  <si>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</si>
  <si>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</si>
  <si>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</si>
  <si>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</si>
  <si>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</si>
  <si>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</si>
  <si>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</si>
  <si>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</si>
  <si>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</si>
  <si>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</si>
  <si>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</si>
  <si>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</si>
  <si>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</si>
  <si>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</si>
  <si>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</si>
  <si>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</si>
  <si>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</si>
  <si>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</si>
  <si>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</si>
  <si>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</si>
  <si>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</si>
  <si>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</si>
  <si>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</si>
  <si>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</si>
  <si>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</si>
  <si>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</si>
  <si>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</si>
  <si>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</si>
  <si>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</si>
  <si>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</si>
  <si>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</si>
  <si>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</si>
  <si>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</si>
  <si>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</si>
  <si>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</si>
  <si>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</si>
  <si>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</si>
  <si>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</si>
  <si>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</si>
  <si>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</si>
  <si>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</si>
  <si>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</si>
  <si>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</si>
  <si>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</si>
  <si>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</si>
  <si>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</si>
  <si>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</si>
  <si>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</si>
  <si>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</si>
  <si>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</si>
  <si>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</si>
  <si>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</si>
  <si>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</si>
  <si>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</si>
  <si>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</si>
  <si>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</si>
  <si>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</si>
  <si>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</si>
  <si>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</si>
  <si>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</si>
  <si>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</si>
  <si>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</si>
  <si>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</si>
  <si>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</si>
  <si>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</si>
  <si>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</si>
  <si>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</si>
  <si>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</si>
  <si>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</si>
  <si>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</si>
  <si>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</si>
  <si>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</si>
  <si>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</si>
  <si>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</si>
  <si>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</si>
  <si>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</si>
  <si>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</si>
  <si>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</si>
  <si>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</si>
  <si>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</si>
  <si>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</si>
  <si>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</si>
  <si>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</si>
  <si>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</si>
  <si>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</si>
  <si>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</si>
  <si>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</si>
  <si>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</si>
  <si>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</si>
  <si>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</si>
  <si>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</si>
  <si>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</si>
  <si>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</si>
  <si>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</si>
  <si>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</si>
  <si>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</si>
  <si>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</si>
  <si>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</si>
  <si>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</si>
  <si>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</si>
  <si>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</si>
  <si>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</si>
  <si>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</si>
  <si>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</si>
  <si>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</si>
  <si>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</si>
  <si>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</si>
  <si>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</si>
  <si>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</si>
  <si>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</si>
  <si>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</si>
  <si>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</si>
  <si>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</si>
  <si>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</si>
  <si>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</si>
  <si>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</si>
  <si>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</si>
  <si>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</si>
  <si>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</si>
  <si>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</si>
  <si>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</si>
  <si>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</si>
  <si>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</si>
  <si>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</si>
  <si>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</si>
  <si>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</si>
  <si>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</si>
  <si>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</si>
  <si>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</si>
  <si>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</si>
  <si>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</si>
  <si>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</si>
  <si>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</si>
  <si>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</si>
  <si>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</si>
  <si>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</si>
  <si>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</si>
  <si>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</si>
  <si>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</si>
  <si>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</si>
  <si>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</si>
  <si>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</si>
  <si>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</si>
  <si>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</si>
  <si>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</si>
  <si>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</si>
  <si>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</si>
  <si>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</si>
  <si>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</si>
  <si>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</si>
  <si>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</si>
  <si>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</si>
  <si>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</si>
  <si>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</si>
  <si>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</si>
  <si>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</si>
  <si>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</si>
  <si>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</si>
  <si>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</si>
  <si>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</si>
  <si>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</si>
  <si>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</si>
  <si>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</si>
  <si>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</si>
  <si>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</si>
  <si>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</si>
  <si>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</si>
  <si>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</si>
  <si>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</si>
  <si>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</si>
  <si>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</si>
  <si>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</si>
  <si>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</si>
  <si>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</si>
  <si>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</si>
  <si>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</si>
  <si>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</si>
  <si>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</si>
  <si>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</si>
  <si>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</si>
  <si>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</si>
  <si>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</si>
  <si>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</si>
  <si>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</si>
  <si>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</si>
  <si>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</si>
  <si>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</si>
  <si>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</si>
  <si>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</si>
  <si>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</si>
  <si>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</si>
  <si>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</si>
  <si>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</si>
  <si>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</si>
  <si>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</si>
  <si>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</si>
  <si>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</si>
  <si>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</si>
  <si>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</si>
  <si>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</si>
  <si>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</si>
  <si>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</si>
  <si>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</si>
  <si>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</si>
  <si>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</si>
  <si>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</si>
  <si>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</si>
  <si>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</si>
  <si>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</si>
  <si>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</si>
  <si>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</si>
  <si>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</si>
  <si>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</si>
  <si>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</si>
  <si>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</si>
  <si>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</si>
  <si>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</si>
  <si>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</si>
  <si>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</si>
  <si>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</si>
  <si>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</si>
  <si>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</si>
  <si>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</si>
  <si>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</si>
  <si>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</si>
  <si>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</si>
  <si>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</si>
  <si>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</si>
  <si>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</si>
  <si>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</si>
  <si>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</si>
  <si>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</si>
  <si>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</si>
  <si>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</si>
  <si>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</si>
  <si>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</si>
  <si>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</si>
  <si>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</si>
  <si>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</si>
  <si>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</si>
  <si>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</si>
  <si>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</si>
  <si>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</si>
  <si>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</si>
  <si>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</si>
  <si>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</si>
  <si>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</si>
  <si>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</si>
  <si>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</si>
  <si>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</si>
  <si>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</si>
  <si>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</si>
  <si>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</si>
  <si>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</si>
  <si>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</si>
  <si>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</si>
  <si>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</si>
  <si>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</si>
  <si>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</si>
  <si>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</si>
  <si>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</si>
  <si>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</si>
  <si>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</si>
  <si>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</si>
  <si>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</si>
  <si>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</si>
  <si>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</si>
  <si>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</si>
  <si>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</si>
  <si>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</si>
  <si>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</si>
  <si>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</si>
  <si>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</si>
  <si>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</si>
  <si>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</si>
  <si>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</si>
  <si>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</si>
  <si>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</si>
  <si>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</si>
  <si>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</si>
  <si>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</si>
  <si>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</si>
  <si>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</si>
  <si>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</si>
  <si>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</si>
  <si>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</si>
  <si>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</si>
  <si>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</si>
  <si>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</si>
  <si>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</si>
  <si>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</si>
  <si>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</si>
  <si>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</si>
  <si>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</si>
  <si>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</si>
  <si>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</si>
  <si>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</si>
  <si>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</si>
  <si>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</si>
  <si>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</si>
  <si>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</si>
  <si>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</si>
  <si>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</si>
  <si>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</si>
  <si>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</si>
  <si>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</si>
  <si>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</si>
  <si>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</si>
  <si>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</si>
  <si>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</si>
  <si>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</si>
  <si>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</si>
  <si>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</si>
  <si>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</si>
  <si>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</si>
  <si>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</si>
  <si>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</si>
  <si>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</si>
  <si>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</si>
  <si>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</si>
  <si>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</si>
  <si>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</si>
  <si>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</si>
  <si>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</si>
  <si>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</si>
  <si>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</si>
  <si>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</si>
  <si>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</si>
  <si>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</si>
  <si>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</si>
  <si>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</si>
  <si>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</si>
  <si>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</si>
  <si>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</si>
  <si>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</si>
  <si>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</si>
  <si>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</si>
  <si>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</si>
  <si>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</si>
  <si>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</si>
  <si>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</si>
  <si>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</si>
  <si>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</si>
  <si>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</si>
  <si>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</si>
  <si>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</si>
  <si>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</si>
  <si>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</si>
  <si>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</si>
  <si>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</si>
  <si>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</si>
  <si>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</si>
  <si>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</si>
  <si>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</si>
  <si>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</si>
  <si>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</si>
  <si>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</si>
  <si>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</si>
  <si>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</si>
  <si>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</si>
  <si>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</si>
  <si>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</si>
  <si>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</si>
  <si>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</si>
  <si>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</si>
  <si>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</si>
  <si>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</si>
  <si>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</si>
  <si>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</si>
  <si>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</si>
  <si>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</si>
  <si>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</si>
  <si>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</si>
  <si>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</si>
  <si>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</si>
  <si>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</si>
  <si>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</si>
  <si>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</si>
  <si>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</si>
  <si>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</si>
  <si>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</si>
  <si>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</si>
  <si>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</si>
  <si>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</si>
  <si>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</si>
  <si>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</si>
  <si>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</si>
  <si>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</si>
  <si>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</si>
  <si>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</si>
  <si>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</si>
  <si>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</si>
  <si>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</si>
  <si>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</si>
  <si>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</si>
  <si>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</si>
  <si>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</si>
  <si>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</si>
  <si>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</si>
  <si>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</si>
  <si>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</si>
  <si>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</si>
  <si>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</si>
  <si>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</si>
  <si>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</si>
  <si>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</si>
  <si>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</si>
  <si>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</si>
  <si>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</si>
  <si>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</si>
  <si>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</si>
  <si>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</si>
  <si>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</si>
  <si>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</si>
  <si>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</si>
  <si>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</si>
  <si>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</si>
  <si>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</si>
  <si>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</si>
  <si>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</si>
  <si>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</si>
  <si>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</si>
  <si>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</si>
  <si>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</si>
  <si>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</si>
  <si>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</si>
  <si>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</si>
  <si>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</si>
  <si>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</si>
  <si>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</si>
  <si>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</si>
  <si>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</si>
  <si>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</si>
  <si>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</si>
  <si>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</si>
  <si>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</si>
  <si>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</si>
  <si>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</si>
  <si>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</si>
  <si>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</si>
  <si>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</si>
  <si>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</si>
  <si>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</si>
  <si>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</si>
  <si>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</si>
  <si>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</si>
  <si>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</si>
  <si>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</si>
  <si>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</si>
  <si>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</si>
  <si>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</si>
  <si>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</si>
  <si>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</si>
  <si>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</si>
  <si>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</si>
  <si>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</si>
  <si>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</si>
  <si>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</si>
  <si>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</si>
  <si>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</si>
  <si>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</si>
  <si>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</si>
  <si>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</si>
  <si>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</si>
  <si>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</si>
  <si>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</si>
  <si>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</si>
  <si>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</si>
  <si>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</si>
  <si>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مبلغ الشيك</t>
  </si>
  <si>
    <t xml:space="preserve">رقم الشيك المصدر </t>
  </si>
  <si>
    <t>ملاحظات</t>
  </si>
  <si>
    <t>ما قبلة :  عدد 40 شيك بإجمالي مبلغ</t>
  </si>
  <si>
    <t xml:space="preserve">استلمت أنا /                                   بصفتي أمين خزينة فرع               جميع الشيكات الواردة بالكشف عاليه لتسليمها للعملاء طبقاً لموافقة لجنة البت في القروض 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</si>
  <si>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</si>
  <si>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ما قبلة :  عدد 80 شيك بإجمالي مبلغ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</si>
  <si>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</si>
  <si>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</si>
  <si>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</si>
  <si>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</si>
  <si>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</si>
  <si>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</si>
  <si>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</si>
  <si>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</si>
  <si>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</si>
  <si>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</si>
  <si>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</si>
  <si>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</si>
  <si>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</si>
  <si>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</si>
  <si>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</si>
  <si>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</si>
  <si>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</si>
  <si>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</si>
  <si>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</si>
  <si>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</si>
  <si>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</si>
  <si>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</si>
  <si>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</si>
  <si>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</si>
  <si>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</si>
  <si>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</si>
  <si>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</si>
  <si>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</si>
  <si>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</si>
  <si>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</si>
  <si>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</si>
  <si>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</si>
  <si>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</si>
  <si>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</si>
  <si>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</si>
  <si>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</si>
  <si>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</si>
  <si>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</si>
  <si>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</si>
  <si>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</si>
  <si>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</si>
  <si>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</si>
  <si>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</si>
  <si>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</si>
  <si>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</si>
  <si>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</si>
  <si>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</si>
  <si>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</si>
  <si>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</si>
  <si>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</si>
  <si>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</si>
  <si>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</si>
  <si>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</si>
  <si>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</si>
  <si>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</si>
  <si>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</si>
  <si>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</si>
  <si>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</si>
  <si>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</si>
  <si>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</si>
  <si>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</si>
  <si>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</si>
  <si>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</si>
  <si>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</si>
  <si>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</si>
  <si>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</si>
  <si>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</si>
  <si>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</si>
  <si>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</si>
  <si>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</si>
  <si>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</si>
  <si>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</si>
  <si>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</si>
  <si>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</si>
  <si>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</si>
  <si>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</si>
  <si>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</si>
  <si>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</si>
  <si>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</si>
  <si>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</si>
  <si>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</si>
  <si>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</si>
  <si>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</si>
  <si>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</si>
  <si>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</si>
  <si>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</si>
  <si>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</si>
  <si>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</si>
  <si>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</si>
  <si>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</si>
  <si>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</si>
  <si>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</si>
  <si>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</si>
  <si>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</si>
  <si>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</si>
  <si>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</si>
  <si>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</si>
  <si>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</si>
  <si>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</si>
  <si>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</si>
  <si>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</si>
  <si>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</si>
  <si>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</si>
  <si>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</si>
  <si>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</si>
  <si>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</si>
  <si>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</si>
  <si>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</si>
  <si>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</si>
  <si>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</si>
  <si>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</si>
  <si>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</si>
  <si>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</si>
  <si>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</si>
  <si>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</si>
  <si>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</si>
  <si>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</si>
  <si>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</si>
  <si>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</si>
  <si>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</si>
  <si>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</si>
  <si>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</si>
  <si>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</si>
  <si>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</si>
  <si>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</si>
  <si>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</si>
  <si>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</si>
  <si>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</si>
  <si>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</si>
  <si>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</si>
  <si>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</si>
  <si>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</si>
  <si>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</si>
  <si>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</si>
  <si>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</si>
  <si>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</si>
  <si>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</si>
  <si>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</si>
  <si>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</si>
  <si>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</si>
  <si>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</si>
  <si>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</si>
  <si>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</si>
  <si>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</si>
  <si>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</si>
  <si>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</si>
  <si>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</si>
  <si>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</si>
  <si>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</si>
  <si>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</si>
  <si>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</si>
  <si>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</si>
  <si>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</si>
  <si>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</si>
  <si>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</si>
  <si>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</si>
  <si>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</si>
  <si>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</si>
  <si>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</si>
  <si>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</si>
  <si>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</si>
  <si>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</si>
  <si>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</si>
  <si>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</si>
  <si>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</si>
  <si>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</si>
  <si>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</si>
  <si>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</si>
  <si>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</si>
  <si>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</si>
  <si>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</si>
  <si>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</si>
  <si>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</si>
  <si>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</si>
  <si>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</si>
  <si>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</si>
  <si>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</si>
  <si>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</si>
  <si>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</si>
  <si>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</si>
  <si>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</si>
  <si>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</si>
  <si>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</si>
  <si>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</si>
  <si>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</si>
  <si>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</si>
  <si>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</si>
  <si>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</si>
  <si>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</si>
  <si>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</si>
  <si>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</si>
  <si>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</si>
  <si>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</si>
  <si>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</si>
  <si>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</si>
  <si>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</si>
  <si>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</si>
  <si>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</si>
  <si>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</si>
  <si>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</si>
  <si>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</si>
  <si>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</si>
  <si>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</si>
  <si>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</si>
  <si>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</si>
  <si>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</si>
  <si>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</si>
  <si>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</si>
  <si>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</si>
  <si>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</si>
  <si>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</si>
  <si>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</si>
  <si>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</si>
  <si>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</si>
  <si>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</si>
  <si>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</si>
  <si>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</si>
  <si>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</si>
  <si>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</si>
  <si>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</si>
  <si>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</si>
  <si>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</si>
  <si>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</si>
  <si>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</si>
  <si>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</si>
  <si>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</si>
  <si>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</si>
  <si>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</si>
  <si>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</si>
  <si>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</si>
  <si>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</si>
  <si>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</si>
  <si>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</si>
  <si>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</si>
  <si>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</si>
  <si>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</si>
  <si>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</si>
  <si>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</si>
  <si>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</si>
  <si>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</si>
  <si>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</si>
  <si>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</si>
  <si>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</si>
  <si>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</si>
  <si>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</si>
  <si>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</si>
  <si>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</si>
  <si>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</si>
  <si>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</si>
  <si>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</si>
  <si>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</si>
  <si>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</si>
  <si>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</si>
  <si>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</si>
  <si>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</si>
  <si>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</si>
  <si>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</si>
  <si>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</si>
  <si>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</si>
  <si>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</si>
  <si>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</si>
  <si>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</si>
  <si>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</si>
  <si>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</si>
  <si>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</si>
  <si>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</si>
  <si>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</si>
  <si>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</si>
  <si>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</si>
  <si>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</si>
  <si>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</si>
  <si>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</si>
  <si>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</si>
  <si>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</si>
  <si>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</si>
  <si>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</si>
  <si>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</si>
  <si>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</si>
  <si>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</si>
  <si>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</si>
  <si>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</si>
  <si>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</si>
  <si>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</si>
  <si>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</si>
  <si>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</si>
  <si>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</si>
  <si>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</si>
  <si>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</si>
  <si>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</si>
  <si>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</si>
  <si>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</si>
  <si>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</si>
  <si>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</si>
  <si>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</si>
  <si>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</si>
  <si>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</si>
  <si>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</si>
  <si>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</si>
  <si>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</si>
  <si>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</si>
  <si>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</si>
  <si>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</si>
  <si>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</si>
  <si>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</si>
  <si>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</si>
  <si>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</si>
  <si>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</si>
  <si>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</si>
  <si>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</si>
  <si>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</si>
  <si>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</si>
  <si>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</si>
  <si>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</si>
  <si>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</si>
  <si>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</si>
  <si>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</si>
  <si>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</si>
  <si>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</si>
  <si>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</si>
  <si>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</si>
  <si>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</si>
  <si>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</si>
  <si>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</si>
  <si>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</si>
  <si>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</si>
  <si>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</si>
  <si>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</si>
  <si>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</si>
  <si>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</si>
  <si>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</si>
  <si>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</si>
  <si>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</si>
  <si>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</si>
  <si>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</si>
  <si>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</si>
  <si>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</si>
  <si>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</si>
  <si>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</si>
  <si>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</si>
  <si>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</si>
  <si>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</si>
  <si>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</si>
  <si>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</si>
  <si>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</si>
  <si>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</si>
  <si>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</si>
  <si>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</si>
  <si>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</si>
  <si>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</si>
  <si>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</si>
  <si>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</si>
  <si>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</si>
  <si>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</si>
  <si>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</si>
  <si>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</si>
  <si>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</si>
  <si>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</si>
  <si>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</si>
  <si>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</si>
  <si>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</si>
  <si>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</si>
  <si>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</si>
  <si>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</si>
  <si>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</si>
  <si>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</si>
  <si>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</si>
  <si>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</si>
  <si>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</si>
  <si>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</si>
  <si>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</si>
  <si>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</si>
  <si>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</si>
  <si>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</si>
  <si>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</si>
  <si>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</si>
  <si>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</si>
  <si>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</si>
  <si>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</si>
  <si>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</si>
  <si>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</si>
  <si>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</si>
  <si>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</si>
  <si>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</si>
  <si>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</si>
  <si>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</si>
  <si>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</si>
  <si>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</si>
  <si>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</si>
  <si>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</si>
  <si>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</si>
  <si>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</si>
  <si>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</si>
  <si>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</si>
  <si>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</si>
  <si>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</si>
  <si>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</si>
  <si>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</si>
  <si>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</si>
  <si>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</si>
  <si>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</si>
  <si>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</si>
  <si>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</si>
  <si>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</si>
  <si>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</si>
  <si>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</si>
  <si>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</si>
  <si>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</si>
  <si>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</si>
  <si>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</si>
  <si>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</si>
  <si>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</si>
  <si>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</si>
  <si>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</si>
  <si>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</si>
  <si>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</si>
  <si>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</si>
  <si>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</si>
  <si>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</si>
  <si>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</si>
  <si>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</si>
  <si>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</si>
  <si>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</si>
  <si>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</si>
  <si>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</si>
  <si>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</si>
  <si>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</si>
  <si>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</si>
  <si>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</si>
  <si>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</si>
  <si>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</si>
  <si>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</si>
  <si>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</si>
  <si>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</si>
  <si>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</si>
  <si>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</si>
  <si>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</si>
  <si>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</si>
  <si>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</si>
  <si>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</si>
  <si>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</si>
  <si>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</si>
  <si>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</si>
  <si>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</si>
  <si>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</si>
  <si>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</si>
  <si>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</si>
  <si>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</si>
  <si>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</si>
  <si>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</si>
  <si>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</si>
  <si>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</si>
  <si>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</si>
  <si>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</si>
  <si>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</si>
  <si>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</si>
  <si>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</si>
  <si>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</si>
  <si>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</si>
  <si>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</si>
  <si>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</si>
  <si>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</si>
  <si>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</si>
  <si>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</si>
  <si>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</si>
  <si>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</si>
  <si>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</si>
  <si>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</si>
  <si>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</si>
  <si>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</si>
  <si>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</si>
  <si>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</si>
  <si>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</si>
  <si>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</si>
  <si>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</si>
  <si>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</si>
  <si>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</si>
  <si>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</si>
  <si>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</si>
  <si>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</si>
  <si>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</si>
  <si>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</si>
  <si>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</si>
  <si>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</si>
  <si>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</si>
  <si>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</si>
  <si>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</si>
  <si>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</si>
  <si>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</si>
  <si>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</si>
  <si>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</si>
  <si>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</si>
  <si>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</si>
  <si>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</si>
  <si>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</si>
  <si>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</si>
  <si>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</si>
  <si>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</si>
  <si>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</si>
  <si>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</si>
  <si>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</si>
  <si>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</si>
  <si>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</si>
  <si>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</si>
  <si>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</si>
  <si>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</si>
  <si>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</si>
  <si>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</si>
  <si>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</si>
  <si>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</si>
  <si>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</si>
  <si>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</si>
  <si>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</si>
  <si>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</si>
  <si>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</si>
  <si>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</si>
  <si>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</si>
  <si>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</si>
  <si>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</si>
  <si>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</si>
  <si>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</si>
  <si>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</si>
  <si>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</si>
  <si>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</si>
  <si>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</si>
  <si>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</si>
  <si>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</si>
  <si>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</si>
  <si>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</si>
  <si>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</si>
  <si>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</si>
  <si>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</si>
  <si>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</si>
  <si>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</si>
  <si>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</si>
  <si>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</si>
  <si>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</si>
  <si>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</si>
  <si>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</si>
  <si>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</si>
  <si>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</si>
  <si>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</si>
  <si>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</si>
  <si>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</si>
  <si>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</si>
  <si>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</si>
  <si>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</si>
  <si>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</si>
  <si>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</si>
  <si>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</si>
  <si>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</si>
  <si>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</si>
  <si>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</si>
  <si>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</si>
  <si>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</si>
  <si>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</si>
  <si>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</si>
  <si>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</si>
  <si>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</si>
  <si>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</si>
  <si>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</si>
  <si>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</si>
  <si>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</si>
  <si>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</si>
  <si>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</si>
  <si>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</si>
  <si>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</si>
  <si>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</si>
  <si>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</si>
  <si>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</si>
  <si>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</si>
  <si>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</si>
  <si>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</si>
  <si>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</si>
  <si>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</si>
  <si>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</si>
  <si>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</si>
  <si>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</si>
  <si>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</si>
  <si>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ما قبلة :  عدد 120 شيك بإجمالي مبلغ</t>
  </si>
  <si>
    <t>ما قبلة :  عدد 160 شيك بإجمالي مبلغ</t>
  </si>
  <si>
    <t>ما قبلة :  عدد 200 شيك بإجمالي مبلغ</t>
  </si>
  <si>
    <t>ما قبلة :  عدد 240 شيك بإجمالي مبلغ</t>
  </si>
  <si>
    <t>ما قبلة :  عدد 280 شيك بإجمالي مبلغ</t>
  </si>
  <si>
    <t>فرع نجع حمادى</t>
  </si>
  <si>
    <t xml:space="preserve">مشروع ايدى فى ايدك  </t>
  </si>
  <si>
    <t>علي الحساب الجاري رقم / 405033714006  ببنك الأسكندرية فرع اسيوط</t>
  </si>
  <si>
    <t>استلمت أنا /                                   بصفتي أمين خزينة فرع               جميع الشيكات الواردة بالكشف عاليه لتسليمها للعملاء طبقاً لموافقة لجنه الائتمان والتمويل المتناهى الصغر</t>
  </si>
  <si>
    <t xml:space="preserve">استلمت أنا /                                   بصفتي أمين خزينة فرع               جميع الشيكات الواردة بالكشف عاليه لتسليمها للعملاء طبقاً لموافقة لجنه الائتمان والتمويل المتناهى الصغر </t>
  </si>
  <si>
    <t>برنامج الائتمان والتمويل المتناهى الصغر</t>
  </si>
  <si>
    <t>حافظة شيكات للعملاء ملغاة  بلجنة البت في القروض المنعقدة في تاريخ</t>
  </si>
  <si>
    <t xml:space="preserve">حافظة شيكات محررة للعملاء طبقاً لموافقة لجنه الائتمان والتمويل المتناهى الصغر المنعقدة في تاريخ </t>
  </si>
  <si>
    <t>علي الحساب الجاري رقم /  405033714006   ببنك الأسكندرية فرع اسيوط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</si>
</sst>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/mm/dd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hidden="1"/>
    </xf>
    <xf numFmtId="0" fontId="0" fillId="0" borderId="0" xfId="0" applyAlignment="1" applyProtection="1">
      <alignment horizontal="right" vertical="center" readingOrder="2"/>
      <protection locked="0"/>
    </xf>
    <xf numFmtId="0" fontId="3" fillId="0" borderId="1" xfId="0" applyFont="1" applyBorder="1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1" xfId="0" applyBorder="1" applyAlignment="1" applyProtection="1">
      <alignment horizontal="center" vertical="center" readingOrder="2"/>
    </xf>
    <xf numFmtId="0" fontId="3" fillId="0" borderId="1" xfId="0" applyFont="1" applyBorder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5" fillId="0" borderId="0" xfId="0" applyFont="1" applyAlignment="1" applyProtection="1">
      <alignment vertical="center" wrapText="1" readingOrder="2"/>
      <protection locked="0"/>
    </xf>
    <xf numFmtId="164" fontId="5" fillId="0" borderId="0" xfId="0" applyNumberFormat="1" applyFont="1" applyAlignment="1" applyProtection="1">
      <alignment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0" xfId="0" applyFont="1" applyBorder="1" applyAlignment="1" applyProtection="1">
      <alignment horizontal="center" vertical="center" wrapText="1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4" fillId="0" borderId="5" xfId="0" applyFont="1" applyBorder="1" applyAlignment="1" applyProtection="1">
      <alignment horizontal="center" vertical="center" readingOrder="2"/>
      <protection locked="0"/>
    </xf>
    <xf numFmtId="0" fontId="3" fillId="0" borderId="0" xfId="0" applyFont="1" applyBorder="1" applyAlignment="1" applyProtection="1">
      <alignment horizontal="center" vertical="center" wrapTex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horizontal="left" vertical="center" readingOrder="2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4" fillId="0" borderId="2" xfId="0" applyFont="1" applyBorder="1" applyAlignment="1" applyProtection="1">
      <alignment horizontal="right" vertical="center" readingOrder="2"/>
    </xf>
    <xf numFmtId="0" fontId="4" fillId="0" borderId="4" xfId="0" applyFont="1" applyBorder="1" applyAlignment="1" applyProtection="1">
      <alignment horizontal="right" vertical="center" readingOrder="2"/>
    </xf>
    <xf numFmtId="0" fontId="4" fillId="0" borderId="2" xfId="0" applyFont="1" applyBorder="1" applyAlignment="1" applyProtection="1">
      <alignment horizontal="left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  <protection locked="0"/>
    </xf>
    <xf numFmtId="0" fontId="4" fillId="0" borderId="4" xfId="0" applyFont="1" applyBorder="1" applyAlignment="1" applyProtection="1">
      <alignment horizontal="lef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1" fillId="0" borderId="0" xfId="0" applyFont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1" fontId="0" fillId="2" borderId="1" xfId="0" applyNumberFormat="1" applyFill="1" applyBorder="1" applyAlignment="1" applyProtection="1">
      <alignment horizontal="center" vertical="center" readingOrder="2"/>
      <protection locked="0"/>
    </xf>
  </cellXfs>
  <cellStyles count="2">
    <cellStyle name="Normal" xfId="0" builtinId="0"/>
    <cellStyle name="Normal 2" xfId="1"/>
  </cellStyles>
  <dxfs count="1"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10016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10017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10018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10019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10020</v>
      </c>
    </row>
    <row r="12502" spans="1:2" x14ac:dyDescent="0.25">
      <c r="A12502" s="1">
        <f>A12501+500</f>
        <v>13000</v>
      </c>
      <c r="B12502" s="2" t="s">
        <v>10021</v>
      </c>
    </row>
    <row r="12503" spans="1:2" x14ac:dyDescent="0.25">
      <c r="A12503" s="1">
        <f t="shared" ref="A12503:A12535" si="0">A12502+500</f>
        <v>13500</v>
      </c>
      <c r="B12503" s="2" t="s">
        <v>10022</v>
      </c>
    </row>
    <row r="12504" spans="1:2" x14ac:dyDescent="0.25">
      <c r="A12504" s="1">
        <f t="shared" si="0"/>
        <v>14000</v>
      </c>
      <c r="B12504" s="2" t="s">
        <v>10023</v>
      </c>
    </row>
    <row r="12505" spans="1:2" x14ac:dyDescent="0.25">
      <c r="A12505" s="1">
        <f t="shared" si="0"/>
        <v>14500</v>
      </c>
      <c r="B12505" s="2" t="s">
        <v>10024</v>
      </c>
    </row>
    <row r="12506" spans="1:2" x14ac:dyDescent="0.25">
      <c r="A12506" s="1">
        <f>A12505+500</f>
        <v>15000</v>
      </c>
      <c r="B12506" s="2" t="s">
        <v>10025</v>
      </c>
    </row>
    <row r="12507" spans="1:2" x14ac:dyDescent="0.25">
      <c r="A12507" s="1">
        <f t="shared" si="0"/>
        <v>15500</v>
      </c>
      <c r="B12507" s="2" t="s">
        <v>10026</v>
      </c>
    </row>
    <row r="12508" spans="1:2" x14ac:dyDescent="0.25">
      <c r="A12508" s="1">
        <f t="shared" si="0"/>
        <v>16000</v>
      </c>
      <c r="B12508" s="2" t="s">
        <v>10027</v>
      </c>
    </row>
    <row r="12509" spans="1:2" x14ac:dyDescent="0.25">
      <c r="A12509" s="1">
        <f t="shared" si="0"/>
        <v>16500</v>
      </c>
      <c r="B12509" s="2" t="s">
        <v>10028</v>
      </c>
    </row>
    <row r="12510" spans="1:2" x14ac:dyDescent="0.25">
      <c r="A12510" s="1">
        <f t="shared" si="0"/>
        <v>17000</v>
      </c>
      <c r="B12510" s="2" t="s">
        <v>10029</v>
      </c>
    </row>
    <row r="12511" spans="1:2" x14ac:dyDescent="0.25">
      <c r="A12511" s="1">
        <f t="shared" si="0"/>
        <v>17500</v>
      </c>
      <c r="B12511" s="2" t="s">
        <v>10030</v>
      </c>
    </row>
    <row r="12512" spans="1:2" x14ac:dyDescent="0.25">
      <c r="A12512" s="1">
        <f t="shared" si="0"/>
        <v>18000</v>
      </c>
      <c r="B12512" s="2" t="s">
        <v>10031</v>
      </c>
    </row>
    <row r="12513" spans="1:2" x14ac:dyDescent="0.25">
      <c r="A12513" s="1">
        <f t="shared" si="0"/>
        <v>18500</v>
      </c>
      <c r="B12513" s="2" t="s">
        <v>10032</v>
      </c>
    </row>
    <row r="12514" spans="1:2" x14ac:dyDescent="0.25">
      <c r="A12514" s="1">
        <f t="shared" si="0"/>
        <v>19000</v>
      </c>
      <c r="B12514" s="2" t="s">
        <v>10033</v>
      </c>
    </row>
    <row r="12515" spans="1:2" x14ac:dyDescent="0.25">
      <c r="A12515" s="1">
        <f t="shared" si="0"/>
        <v>19500</v>
      </c>
      <c r="B12515" s="2" t="s">
        <v>10034</v>
      </c>
    </row>
    <row r="12516" spans="1:2" x14ac:dyDescent="0.25">
      <c r="A12516" s="1">
        <f t="shared" si="0"/>
        <v>20000</v>
      </c>
      <c r="B12516" s="2" t="s">
        <v>10574</v>
      </c>
    </row>
    <row r="12517" spans="1:2" x14ac:dyDescent="0.25">
      <c r="A12517" s="1">
        <f t="shared" si="0"/>
        <v>20500</v>
      </c>
      <c r="B12517" s="2" t="s">
        <v>10575</v>
      </c>
    </row>
    <row r="12518" spans="1:2" x14ac:dyDescent="0.25">
      <c r="A12518" s="1">
        <f t="shared" si="0"/>
        <v>21000</v>
      </c>
      <c r="B12518" s="2" t="s">
        <v>10576</v>
      </c>
    </row>
    <row r="12519" spans="1:2" x14ac:dyDescent="0.25">
      <c r="A12519" s="1">
        <f t="shared" si="0"/>
        <v>21500</v>
      </c>
      <c r="B12519" s="2" t="s">
        <v>10577</v>
      </c>
    </row>
    <row r="12520" spans="1:2" x14ac:dyDescent="0.25">
      <c r="A12520" s="1">
        <f t="shared" si="0"/>
        <v>22000</v>
      </c>
      <c r="B12520" s="2" t="s">
        <v>10578</v>
      </c>
    </row>
    <row r="12521" spans="1:2" x14ac:dyDescent="0.25">
      <c r="A12521" s="1">
        <f t="shared" si="0"/>
        <v>22500</v>
      </c>
      <c r="B12521" s="2" t="s">
        <v>10579</v>
      </c>
    </row>
    <row r="12522" spans="1:2" x14ac:dyDescent="0.25">
      <c r="A12522" s="1">
        <f>A12521+500</f>
        <v>23000</v>
      </c>
      <c r="B12522" s="2" t="s">
        <v>10580</v>
      </c>
    </row>
    <row r="12523" spans="1:2" x14ac:dyDescent="0.25">
      <c r="A12523" s="1">
        <f t="shared" si="0"/>
        <v>23500</v>
      </c>
      <c r="B12523" s="2" t="s">
        <v>10581</v>
      </c>
    </row>
    <row r="12524" spans="1:2" x14ac:dyDescent="0.25">
      <c r="A12524" s="1">
        <f t="shared" si="0"/>
        <v>24000</v>
      </c>
      <c r="B12524" s="2" t="s">
        <v>10582</v>
      </c>
    </row>
    <row r="12525" spans="1:2" x14ac:dyDescent="0.25">
      <c r="A12525" s="1">
        <f t="shared" si="0"/>
        <v>24500</v>
      </c>
      <c r="B12525" s="2" t="s">
        <v>10583</v>
      </c>
    </row>
    <row r="12526" spans="1:2" x14ac:dyDescent="0.25">
      <c r="A12526" s="1">
        <f t="shared" si="0"/>
        <v>25000</v>
      </c>
      <c r="B12526" s="2" t="s">
        <v>10584</v>
      </c>
    </row>
    <row r="12527" spans="1:2" x14ac:dyDescent="0.25">
      <c r="A12527" s="1">
        <f t="shared" si="0"/>
        <v>25500</v>
      </c>
      <c r="B12527" s="2" t="s">
        <v>10585</v>
      </c>
    </row>
    <row r="12528" spans="1:2" x14ac:dyDescent="0.25">
      <c r="A12528" s="1">
        <f t="shared" si="0"/>
        <v>26000</v>
      </c>
      <c r="B12528" s="2" t="s">
        <v>10586</v>
      </c>
    </row>
    <row r="12529" spans="1:2" x14ac:dyDescent="0.25">
      <c r="A12529" s="1">
        <f>A12528+500</f>
        <v>26500</v>
      </c>
      <c r="B12529" s="2" t="s">
        <v>10587</v>
      </c>
    </row>
    <row r="12530" spans="1:2" x14ac:dyDescent="0.25">
      <c r="A12530" s="1">
        <f t="shared" si="0"/>
        <v>27000</v>
      </c>
      <c r="B12530" s="2" t="s">
        <v>10588</v>
      </c>
    </row>
    <row r="12531" spans="1:2" x14ac:dyDescent="0.25">
      <c r="A12531" s="1">
        <f t="shared" si="0"/>
        <v>27500</v>
      </c>
      <c r="B12531" s="2" t="s">
        <v>10589</v>
      </c>
    </row>
    <row r="12532" spans="1:2" x14ac:dyDescent="0.25">
      <c r="A12532" s="1">
        <f t="shared" si="0"/>
        <v>28000</v>
      </c>
      <c r="B12532" s="2" t="s">
        <v>10590</v>
      </c>
    </row>
    <row r="12533" spans="1:2" x14ac:dyDescent="0.25">
      <c r="A12533" s="1">
        <f t="shared" si="0"/>
        <v>28500</v>
      </c>
      <c r="B12533" s="2" t="s">
        <v>10591</v>
      </c>
    </row>
    <row r="12534" spans="1:2" x14ac:dyDescent="0.25">
      <c r="A12534" s="1">
        <f t="shared" si="0"/>
        <v>29000</v>
      </c>
      <c r="B12534" s="2" t="s">
        <v>10592</v>
      </c>
    </row>
    <row r="12535" spans="1:2" x14ac:dyDescent="0.25">
      <c r="A12535" s="1">
        <f t="shared" si="0"/>
        <v>29500</v>
      </c>
      <c r="B12535" s="2" t="s">
        <v>10593</v>
      </c>
    </row>
    <row r="12536" spans="1:2" x14ac:dyDescent="0.25">
      <c r="A12536" s="1">
        <f>A12535+500</f>
        <v>30000</v>
      </c>
      <c r="B12536" s="2" t="s">
        <v>10035</v>
      </c>
    </row>
    <row r="12537" spans="1:2" x14ac:dyDescent="0.25">
      <c r="A12537" s="1">
        <v>30500</v>
      </c>
      <c r="B12537" s="2" t="s">
        <v>10036</v>
      </c>
    </row>
    <row r="12538" spans="1:2" x14ac:dyDescent="0.25">
      <c r="A12538" s="1">
        <v>31000</v>
      </c>
      <c r="B12538" s="2" t="s">
        <v>10037</v>
      </c>
    </row>
    <row r="12539" spans="1:2" x14ac:dyDescent="0.25">
      <c r="A12539" s="1">
        <v>31500</v>
      </c>
      <c r="B12539" s="2" t="s">
        <v>10038</v>
      </c>
    </row>
    <row r="12540" spans="1:2" x14ac:dyDescent="0.25">
      <c r="A12540" s="1">
        <v>32000</v>
      </c>
      <c r="B12540" s="2" t="s">
        <v>10039</v>
      </c>
    </row>
    <row r="12541" spans="1:2" x14ac:dyDescent="0.25">
      <c r="A12541" s="1">
        <v>32500</v>
      </c>
      <c r="B12541" s="2" t="s">
        <v>10040</v>
      </c>
    </row>
    <row r="12542" spans="1:2" x14ac:dyDescent="0.25">
      <c r="A12542" s="1">
        <v>33000</v>
      </c>
      <c r="B12542" s="2" t="s">
        <v>10041</v>
      </c>
    </row>
    <row r="12543" spans="1:2" x14ac:dyDescent="0.25">
      <c r="A12543" s="1">
        <v>33500</v>
      </c>
      <c r="B12543" s="2" t="s">
        <v>10042</v>
      </c>
    </row>
    <row r="12544" spans="1:2" x14ac:dyDescent="0.25">
      <c r="A12544" s="1">
        <v>34000</v>
      </c>
      <c r="B12544" s="2" t="s">
        <v>10043</v>
      </c>
    </row>
    <row r="12545" spans="1:2" x14ac:dyDescent="0.25">
      <c r="A12545" s="1">
        <v>34500</v>
      </c>
      <c r="B12545" s="2" t="s">
        <v>10044</v>
      </c>
    </row>
    <row r="12546" spans="1:2" x14ac:dyDescent="0.25">
      <c r="A12546" s="1">
        <v>35000</v>
      </c>
      <c r="B12546" s="2" t="s">
        <v>10045</v>
      </c>
    </row>
    <row r="12547" spans="1:2" x14ac:dyDescent="0.25">
      <c r="A12547" s="1">
        <v>35500</v>
      </c>
      <c r="B12547" s="2" t="s">
        <v>10046</v>
      </c>
    </row>
    <row r="12548" spans="1:2" x14ac:dyDescent="0.25">
      <c r="A12548" s="1">
        <v>36000</v>
      </c>
      <c r="B12548" s="2" t="s">
        <v>10047</v>
      </c>
    </row>
    <row r="12549" spans="1:2" x14ac:dyDescent="0.25">
      <c r="A12549" s="1">
        <v>36500</v>
      </c>
      <c r="B12549" s="2" t="s">
        <v>10048</v>
      </c>
    </row>
    <row r="12550" spans="1:2" x14ac:dyDescent="0.25">
      <c r="A12550" s="1">
        <v>37000</v>
      </c>
      <c r="B12550" s="2" t="s">
        <v>10049</v>
      </c>
    </row>
    <row r="12551" spans="1:2" x14ac:dyDescent="0.25">
      <c r="A12551" s="1">
        <v>37500</v>
      </c>
      <c r="B12551" s="2" t="s">
        <v>10050</v>
      </c>
    </row>
    <row r="12552" spans="1:2" x14ac:dyDescent="0.25">
      <c r="A12552" s="1">
        <v>38000</v>
      </c>
      <c r="B12552" s="2" t="s">
        <v>10051</v>
      </c>
    </row>
    <row r="12553" spans="1:2" x14ac:dyDescent="0.25">
      <c r="A12553" s="1">
        <v>38500</v>
      </c>
      <c r="B12553" s="2" t="s">
        <v>10052</v>
      </c>
    </row>
    <row r="12554" spans="1:2" x14ac:dyDescent="0.25">
      <c r="A12554" s="1">
        <v>39000</v>
      </c>
      <c r="B12554" s="2" t="s">
        <v>10053</v>
      </c>
    </row>
    <row r="12555" spans="1:2" x14ac:dyDescent="0.25">
      <c r="A12555" s="1">
        <v>39500</v>
      </c>
      <c r="B12555" s="2" t="s">
        <v>10054</v>
      </c>
    </row>
    <row r="12556" spans="1:2" x14ac:dyDescent="0.25">
      <c r="A12556" s="1">
        <v>40000</v>
      </c>
      <c r="B12556" s="2" t="s">
        <v>10055</v>
      </c>
    </row>
    <row r="12557" spans="1:2" x14ac:dyDescent="0.25">
      <c r="A12557" s="1">
        <v>40500</v>
      </c>
      <c r="B12557" s="2" t="s">
        <v>10056</v>
      </c>
    </row>
    <row r="12558" spans="1:2" x14ac:dyDescent="0.25">
      <c r="A12558" s="1">
        <v>41000</v>
      </c>
      <c r="B12558" s="2" t="s">
        <v>10057</v>
      </c>
    </row>
    <row r="12559" spans="1:2" x14ac:dyDescent="0.25">
      <c r="A12559" s="1">
        <v>41500</v>
      </c>
      <c r="B12559" s="2" t="s">
        <v>10058</v>
      </c>
    </row>
    <row r="12560" spans="1:2" x14ac:dyDescent="0.25">
      <c r="A12560" s="1">
        <v>42000</v>
      </c>
      <c r="B12560" s="2" t="s">
        <v>10059</v>
      </c>
    </row>
    <row r="12561" spans="1:2" x14ac:dyDescent="0.25">
      <c r="A12561" s="1">
        <v>42500</v>
      </c>
      <c r="B12561" s="2" t="s">
        <v>10060</v>
      </c>
    </row>
    <row r="12562" spans="1:2" x14ac:dyDescent="0.25">
      <c r="A12562" s="1">
        <v>43000</v>
      </c>
      <c r="B12562" s="2" t="s">
        <v>10061</v>
      </c>
    </row>
    <row r="12563" spans="1:2" x14ac:dyDescent="0.25">
      <c r="A12563" s="1">
        <v>43500</v>
      </c>
      <c r="B12563" s="2" t="s">
        <v>10062</v>
      </c>
    </row>
    <row r="12564" spans="1:2" x14ac:dyDescent="0.25">
      <c r="A12564" s="1">
        <v>44000</v>
      </c>
      <c r="B12564" s="2" t="s">
        <v>10063</v>
      </c>
    </row>
    <row r="12565" spans="1:2" x14ac:dyDescent="0.25">
      <c r="A12565" s="1">
        <v>44500</v>
      </c>
      <c r="B12565" s="2" t="s">
        <v>10064</v>
      </c>
    </row>
    <row r="12566" spans="1:2" x14ac:dyDescent="0.25">
      <c r="A12566" s="1">
        <v>45000</v>
      </c>
      <c r="B12566" s="2" t="s">
        <v>10065</v>
      </c>
    </row>
    <row r="12567" spans="1:2" x14ac:dyDescent="0.25">
      <c r="A12567" s="1">
        <v>45500</v>
      </c>
      <c r="B12567" s="2" t="s">
        <v>10066</v>
      </c>
    </row>
    <row r="12568" spans="1:2" x14ac:dyDescent="0.25">
      <c r="A12568" s="1">
        <v>46000</v>
      </c>
      <c r="B12568" s="2" t="s">
        <v>10067</v>
      </c>
    </row>
    <row r="12569" spans="1:2" x14ac:dyDescent="0.25">
      <c r="A12569" s="1">
        <v>46500</v>
      </c>
      <c r="B12569" s="2" t="s">
        <v>10068</v>
      </c>
    </row>
    <row r="12570" spans="1:2" x14ac:dyDescent="0.25">
      <c r="A12570" s="1">
        <v>47000</v>
      </c>
      <c r="B12570" s="2" t="s">
        <v>10069</v>
      </c>
    </row>
    <row r="12571" spans="1:2" x14ac:dyDescent="0.25">
      <c r="A12571" s="1">
        <v>47500</v>
      </c>
      <c r="B12571" s="2" t="s">
        <v>10070</v>
      </c>
    </row>
    <row r="12572" spans="1:2" x14ac:dyDescent="0.25">
      <c r="A12572" s="1">
        <v>48000</v>
      </c>
      <c r="B12572" s="2" t="s">
        <v>10071</v>
      </c>
    </row>
    <row r="12573" spans="1:2" x14ac:dyDescent="0.25">
      <c r="A12573" s="1">
        <v>48500</v>
      </c>
      <c r="B12573" s="2" t="s">
        <v>10072</v>
      </c>
    </row>
    <row r="12574" spans="1:2" x14ac:dyDescent="0.25">
      <c r="A12574" s="1">
        <v>49000</v>
      </c>
      <c r="B12574" s="2" t="s">
        <v>10073</v>
      </c>
    </row>
    <row r="12575" spans="1:2" x14ac:dyDescent="0.25">
      <c r="A12575" s="1">
        <v>49500</v>
      </c>
      <c r="B12575" s="2" t="s">
        <v>10074</v>
      </c>
    </row>
    <row r="12576" spans="1:2" x14ac:dyDescent="0.25">
      <c r="A12576" s="1">
        <v>50000</v>
      </c>
      <c r="B12576" s="2" t="s">
        <v>10075</v>
      </c>
    </row>
    <row r="12577" spans="1:2" x14ac:dyDescent="0.25">
      <c r="A12577" s="1">
        <v>50500</v>
      </c>
      <c r="B12577" s="2" t="s">
        <v>10076</v>
      </c>
    </row>
    <row r="12578" spans="1:2" x14ac:dyDescent="0.25">
      <c r="A12578" s="1">
        <v>51000</v>
      </c>
      <c r="B12578" s="2" t="s">
        <v>10077</v>
      </c>
    </row>
    <row r="12579" spans="1:2" x14ac:dyDescent="0.25">
      <c r="A12579" s="1">
        <v>51500</v>
      </c>
      <c r="B12579" s="2" t="s">
        <v>10078</v>
      </c>
    </row>
    <row r="12580" spans="1:2" x14ac:dyDescent="0.25">
      <c r="A12580" s="1">
        <v>52000</v>
      </c>
      <c r="B12580" s="2" t="s">
        <v>10079</v>
      </c>
    </row>
    <row r="12581" spans="1:2" x14ac:dyDescent="0.25">
      <c r="A12581" s="1">
        <v>52500</v>
      </c>
      <c r="B12581" s="2" t="s">
        <v>10080</v>
      </c>
    </row>
    <row r="12582" spans="1:2" x14ac:dyDescent="0.25">
      <c r="A12582" s="1">
        <v>53000</v>
      </c>
      <c r="B12582" s="2" t="s">
        <v>10081</v>
      </c>
    </row>
    <row r="12583" spans="1:2" x14ac:dyDescent="0.25">
      <c r="A12583" s="1">
        <v>53500</v>
      </c>
      <c r="B12583" s="2" t="s">
        <v>10082</v>
      </c>
    </row>
    <row r="12584" spans="1:2" x14ac:dyDescent="0.25">
      <c r="A12584" s="1">
        <v>54000</v>
      </c>
      <c r="B12584" s="2" t="s">
        <v>10083</v>
      </c>
    </row>
    <row r="12585" spans="1:2" x14ac:dyDescent="0.25">
      <c r="A12585" s="1">
        <v>54500</v>
      </c>
      <c r="B12585" s="2" t="s">
        <v>10084</v>
      </c>
    </row>
    <row r="12586" spans="1:2" x14ac:dyDescent="0.25">
      <c r="A12586" s="1">
        <v>55000</v>
      </c>
      <c r="B12586" s="2" t="s">
        <v>10085</v>
      </c>
    </row>
    <row r="12587" spans="1:2" x14ac:dyDescent="0.25">
      <c r="A12587" s="1">
        <v>55500</v>
      </c>
      <c r="B12587" s="2" t="s">
        <v>10086</v>
      </c>
    </row>
    <row r="12588" spans="1:2" x14ac:dyDescent="0.25">
      <c r="A12588" s="1">
        <v>56000</v>
      </c>
      <c r="B12588" s="2" t="s">
        <v>10087</v>
      </c>
    </row>
    <row r="12589" spans="1:2" x14ac:dyDescent="0.25">
      <c r="A12589" s="1">
        <v>56500</v>
      </c>
      <c r="B12589" s="2" t="s">
        <v>10088</v>
      </c>
    </row>
    <row r="12590" spans="1:2" x14ac:dyDescent="0.25">
      <c r="A12590" s="1">
        <v>57000</v>
      </c>
      <c r="B12590" s="2" t="s">
        <v>10089</v>
      </c>
    </row>
    <row r="12591" spans="1:2" x14ac:dyDescent="0.25">
      <c r="A12591" s="1">
        <v>57500</v>
      </c>
      <c r="B12591" s="2" t="s">
        <v>10090</v>
      </c>
    </row>
    <row r="12592" spans="1:2" x14ac:dyDescent="0.25">
      <c r="A12592" s="1">
        <v>58000</v>
      </c>
      <c r="B12592" s="2" t="s">
        <v>10091</v>
      </c>
    </row>
    <row r="12593" spans="1:2" x14ac:dyDescent="0.25">
      <c r="A12593" s="1">
        <v>58500</v>
      </c>
      <c r="B12593" s="2" t="s">
        <v>10092</v>
      </c>
    </row>
    <row r="12594" spans="1:2" x14ac:dyDescent="0.25">
      <c r="A12594" s="1">
        <v>59000</v>
      </c>
      <c r="B12594" s="2" t="s">
        <v>10093</v>
      </c>
    </row>
    <row r="12595" spans="1:2" x14ac:dyDescent="0.25">
      <c r="A12595" s="1">
        <v>59500</v>
      </c>
      <c r="B12595" s="2" t="s">
        <v>10094</v>
      </c>
    </row>
    <row r="12596" spans="1:2" x14ac:dyDescent="0.25">
      <c r="A12596" s="1">
        <v>60000</v>
      </c>
      <c r="B12596" s="2" t="s">
        <v>10095</v>
      </c>
    </row>
    <row r="12597" spans="1:2" x14ac:dyDescent="0.25">
      <c r="A12597" s="1">
        <v>60500</v>
      </c>
      <c r="B12597" s="2" t="s">
        <v>10096</v>
      </c>
    </row>
    <row r="12598" spans="1:2" x14ac:dyDescent="0.25">
      <c r="A12598" s="1">
        <v>61000</v>
      </c>
      <c r="B12598" s="2" t="s">
        <v>10097</v>
      </c>
    </row>
    <row r="12599" spans="1:2" x14ac:dyDescent="0.25">
      <c r="A12599" s="1">
        <v>61500</v>
      </c>
      <c r="B12599" s="2" t="s">
        <v>10098</v>
      </c>
    </row>
    <row r="12600" spans="1:2" x14ac:dyDescent="0.25">
      <c r="A12600" s="1">
        <v>62000</v>
      </c>
      <c r="B12600" s="2" t="s">
        <v>10099</v>
      </c>
    </row>
    <row r="12601" spans="1:2" x14ac:dyDescent="0.25">
      <c r="A12601" s="1">
        <v>62500</v>
      </c>
      <c r="B12601" s="2" t="s">
        <v>10100</v>
      </c>
    </row>
    <row r="12602" spans="1:2" x14ac:dyDescent="0.25">
      <c r="A12602" s="1">
        <v>63000</v>
      </c>
      <c r="B12602" s="2" t="s">
        <v>10101</v>
      </c>
    </row>
    <row r="12603" spans="1:2" x14ac:dyDescent="0.25">
      <c r="A12603" s="1">
        <v>63500</v>
      </c>
      <c r="B12603" s="2" t="s">
        <v>10102</v>
      </c>
    </row>
    <row r="12604" spans="1:2" x14ac:dyDescent="0.25">
      <c r="A12604" s="1">
        <v>64000</v>
      </c>
      <c r="B12604" s="2" t="s">
        <v>10103</v>
      </c>
    </row>
    <row r="12605" spans="1:2" x14ac:dyDescent="0.25">
      <c r="A12605" s="1">
        <v>64500</v>
      </c>
      <c r="B12605" s="2" t="s">
        <v>10104</v>
      </c>
    </row>
    <row r="12606" spans="1:2" x14ac:dyDescent="0.25">
      <c r="A12606" s="1">
        <v>65000</v>
      </c>
      <c r="B12606" s="2" t="s">
        <v>10105</v>
      </c>
    </row>
    <row r="12607" spans="1:2" x14ac:dyDescent="0.25">
      <c r="A12607" s="1">
        <v>65500</v>
      </c>
      <c r="B12607" s="2" t="s">
        <v>10106</v>
      </c>
    </row>
    <row r="12608" spans="1:2" x14ac:dyDescent="0.25">
      <c r="A12608" s="1">
        <v>66000</v>
      </c>
      <c r="B12608" s="2" t="s">
        <v>10107</v>
      </c>
    </row>
    <row r="12609" spans="1:2" x14ac:dyDescent="0.25">
      <c r="A12609" s="1">
        <v>66500</v>
      </c>
      <c r="B12609" s="2" t="s">
        <v>10108</v>
      </c>
    </row>
    <row r="12610" spans="1:2" x14ac:dyDescent="0.25">
      <c r="A12610" s="1">
        <v>67000</v>
      </c>
      <c r="B12610" s="2" t="s">
        <v>10109</v>
      </c>
    </row>
    <row r="12611" spans="1:2" x14ac:dyDescent="0.25">
      <c r="A12611" s="1">
        <v>67500</v>
      </c>
      <c r="B12611" s="2" t="s">
        <v>10110</v>
      </c>
    </row>
    <row r="12612" spans="1:2" x14ac:dyDescent="0.25">
      <c r="A12612" s="1">
        <v>68000</v>
      </c>
      <c r="B12612" s="2" t="s">
        <v>10111</v>
      </c>
    </row>
    <row r="12613" spans="1:2" x14ac:dyDescent="0.25">
      <c r="A12613" s="1">
        <v>68500</v>
      </c>
      <c r="B12613" s="2" t="s">
        <v>10112</v>
      </c>
    </row>
    <row r="12614" spans="1:2" x14ac:dyDescent="0.25">
      <c r="A12614" s="1">
        <v>69000</v>
      </c>
      <c r="B12614" s="2" t="s">
        <v>10113</v>
      </c>
    </row>
    <row r="12615" spans="1:2" x14ac:dyDescent="0.25">
      <c r="A12615" s="1">
        <v>69500</v>
      </c>
      <c r="B12615" s="2" t="s">
        <v>10114</v>
      </c>
    </row>
    <row r="12616" spans="1:2" x14ac:dyDescent="0.25">
      <c r="A12616" s="1">
        <v>70000</v>
      </c>
      <c r="B12616" s="2" t="s">
        <v>10115</v>
      </c>
    </row>
    <row r="12617" spans="1:2" x14ac:dyDescent="0.25">
      <c r="A12617" s="1">
        <v>70500</v>
      </c>
      <c r="B12617" s="2" t="s">
        <v>10116</v>
      </c>
    </row>
    <row r="12618" spans="1:2" x14ac:dyDescent="0.25">
      <c r="A12618" s="1">
        <v>71000</v>
      </c>
      <c r="B12618" s="2" t="s">
        <v>10117</v>
      </c>
    </row>
    <row r="12619" spans="1:2" x14ac:dyDescent="0.25">
      <c r="A12619" s="1">
        <v>71500</v>
      </c>
      <c r="B12619" s="2" t="s">
        <v>10118</v>
      </c>
    </row>
    <row r="12620" spans="1:2" x14ac:dyDescent="0.25">
      <c r="A12620" s="1">
        <v>72000</v>
      </c>
      <c r="B12620" s="2" t="s">
        <v>10119</v>
      </c>
    </row>
    <row r="12621" spans="1:2" x14ac:dyDescent="0.25">
      <c r="A12621" s="1">
        <v>72500</v>
      </c>
      <c r="B12621" s="2" t="s">
        <v>10120</v>
      </c>
    </row>
    <row r="12622" spans="1:2" x14ac:dyDescent="0.25">
      <c r="A12622" s="1">
        <v>73000</v>
      </c>
      <c r="B12622" s="2" t="s">
        <v>10121</v>
      </c>
    </row>
    <row r="12623" spans="1:2" x14ac:dyDescent="0.25">
      <c r="A12623" s="1">
        <v>73500</v>
      </c>
      <c r="B12623" s="2" t="s">
        <v>10122</v>
      </c>
    </row>
    <row r="12624" spans="1:2" x14ac:dyDescent="0.25">
      <c r="A12624" s="1">
        <v>74000</v>
      </c>
      <c r="B12624" s="2" t="s">
        <v>10123</v>
      </c>
    </row>
    <row r="12625" spans="1:2" x14ac:dyDescent="0.25">
      <c r="A12625" s="1">
        <v>74500</v>
      </c>
      <c r="B12625" s="2" t="s">
        <v>10124</v>
      </c>
    </row>
    <row r="12626" spans="1:2" x14ac:dyDescent="0.25">
      <c r="A12626" s="1">
        <v>75000</v>
      </c>
      <c r="B12626" s="2" t="s">
        <v>10125</v>
      </c>
    </row>
    <row r="12627" spans="1:2" x14ac:dyDescent="0.25">
      <c r="A12627" s="1">
        <v>75500</v>
      </c>
      <c r="B12627" s="2" t="s">
        <v>10126</v>
      </c>
    </row>
    <row r="12628" spans="1:2" x14ac:dyDescent="0.25">
      <c r="A12628" s="1">
        <v>76000</v>
      </c>
      <c r="B12628" s="2" t="s">
        <v>10127</v>
      </c>
    </row>
    <row r="12629" spans="1:2" x14ac:dyDescent="0.25">
      <c r="A12629" s="1">
        <v>76500</v>
      </c>
      <c r="B12629" s="2" t="s">
        <v>10128</v>
      </c>
    </row>
    <row r="12630" spans="1:2" x14ac:dyDescent="0.25">
      <c r="A12630" s="1">
        <v>77000</v>
      </c>
      <c r="B12630" s="2" t="s">
        <v>10129</v>
      </c>
    </row>
    <row r="12631" spans="1:2" x14ac:dyDescent="0.25">
      <c r="A12631" s="1">
        <v>77500</v>
      </c>
      <c r="B12631" s="2" t="s">
        <v>10130</v>
      </c>
    </row>
    <row r="12632" spans="1:2" x14ac:dyDescent="0.25">
      <c r="A12632" s="1">
        <v>78000</v>
      </c>
      <c r="B12632" s="2" t="s">
        <v>10131</v>
      </c>
    </row>
    <row r="12633" spans="1:2" x14ac:dyDescent="0.25">
      <c r="A12633" s="1">
        <v>78500</v>
      </c>
      <c r="B12633" s="2" t="s">
        <v>10132</v>
      </c>
    </row>
    <row r="12634" spans="1:2" x14ac:dyDescent="0.25">
      <c r="A12634" s="1">
        <v>79000</v>
      </c>
      <c r="B12634" s="2" t="s">
        <v>10133</v>
      </c>
    </row>
    <row r="12635" spans="1:2" x14ac:dyDescent="0.25">
      <c r="A12635" s="1">
        <v>79500</v>
      </c>
      <c r="B12635" s="2" t="s">
        <v>10134</v>
      </c>
    </row>
    <row r="12636" spans="1:2" x14ac:dyDescent="0.25">
      <c r="A12636" s="1">
        <v>80000</v>
      </c>
      <c r="B12636" s="2" t="s">
        <v>10135</v>
      </c>
    </row>
    <row r="12637" spans="1:2" x14ac:dyDescent="0.25">
      <c r="A12637" s="1">
        <v>80500</v>
      </c>
      <c r="B12637" s="2" t="s">
        <v>10136</v>
      </c>
    </row>
    <row r="12638" spans="1:2" x14ac:dyDescent="0.25">
      <c r="A12638" s="1">
        <v>81000</v>
      </c>
      <c r="B12638" s="2" t="s">
        <v>10137</v>
      </c>
    </row>
    <row r="12639" spans="1:2" x14ac:dyDescent="0.25">
      <c r="A12639" s="1">
        <v>81500</v>
      </c>
      <c r="B12639" s="2" t="s">
        <v>10138</v>
      </c>
    </row>
    <row r="12640" spans="1:2" x14ac:dyDescent="0.25">
      <c r="A12640" s="1">
        <v>82000</v>
      </c>
      <c r="B12640" s="2" t="s">
        <v>10139</v>
      </c>
    </row>
    <row r="12641" spans="1:2" x14ac:dyDescent="0.25">
      <c r="A12641" s="1">
        <v>82500</v>
      </c>
      <c r="B12641" s="2" t="s">
        <v>10140</v>
      </c>
    </row>
    <row r="12642" spans="1:2" x14ac:dyDescent="0.25">
      <c r="A12642" s="1">
        <v>83000</v>
      </c>
      <c r="B12642" s="2" t="s">
        <v>10141</v>
      </c>
    </row>
    <row r="12643" spans="1:2" x14ac:dyDescent="0.25">
      <c r="A12643" s="1">
        <v>83500</v>
      </c>
      <c r="B12643" s="2" t="s">
        <v>10142</v>
      </c>
    </row>
    <row r="12644" spans="1:2" x14ac:dyDescent="0.25">
      <c r="A12644" s="1">
        <v>84000</v>
      </c>
      <c r="B12644" s="2" t="s">
        <v>10143</v>
      </c>
    </row>
    <row r="12645" spans="1:2" x14ac:dyDescent="0.25">
      <c r="A12645" s="1">
        <v>84500</v>
      </c>
      <c r="B12645" s="2" t="s">
        <v>10144</v>
      </c>
    </row>
    <row r="12646" spans="1:2" x14ac:dyDescent="0.25">
      <c r="A12646" s="1">
        <v>85000</v>
      </c>
      <c r="B12646" s="2" t="s">
        <v>10145</v>
      </c>
    </row>
    <row r="12647" spans="1:2" x14ac:dyDescent="0.25">
      <c r="A12647" s="1">
        <v>85500</v>
      </c>
      <c r="B12647" s="2" t="s">
        <v>10146</v>
      </c>
    </row>
    <row r="12648" spans="1:2" x14ac:dyDescent="0.25">
      <c r="A12648" s="1">
        <v>86000</v>
      </c>
      <c r="B12648" s="2" t="s">
        <v>10147</v>
      </c>
    </row>
    <row r="12649" spans="1:2" x14ac:dyDescent="0.25">
      <c r="A12649" s="1">
        <v>86500</v>
      </c>
      <c r="B12649" s="2" t="s">
        <v>10148</v>
      </c>
    </row>
    <row r="12650" spans="1:2" x14ac:dyDescent="0.25">
      <c r="A12650" s="1">
        <v>87000</v>
      </c>
      <c r="B12650" s="2" t="s">
        <v>10149</v>
      </c>
    </row>
    <row r="12651" spans="1:2" x14ac:dyDescent="0.25">
      <c r="A12651" s="1">
        <v>87500</v>
      </c>
      <c r="B12651" s="2" t="s">
        <v>10150</v>
      </c>
    </row>
    <row r="12652" spans="1:2" x14ac:dyDescent="0.25">
      <c r="A12652" s="1">
        <v>88000</v>
      </c>
      <c r="B12652" s="2" t="s">
        <v>10151</v>
      </c>
    </row>
    <row r="12653" spans="1:2" x14ac:dyDescent="0.25">
      <c r="A12653" s="1">
        <v>88500</v>
      </c>
      <c r="B12653" s="2" t="s">
        <v>10152</v>
      </c>
    </row>
    <row r="12654" spans="1:2" x14ac:dyDescent="0.25">
      <c r="A12654" s="1">
        <v>89000</v>
      </c>
      <c r="B12654" s="2" t="s">
        <v>10153</v>
      </c>
    </row>
    <row r="12655" spans="1:2" x14ac:dyDescent="0.25">
      <c r="A12655" s="1">
        <v>89500</v>
      </c>
      <c r="B12655" s="2" t="s">
        <v>10154</v>
      </c>
    </row>
    <row r="12656" spans="1:2" x14ac:dyDescent="0.25">
      <c r="A12656" s="1">
        <v>90000</v>
      </c>
      <c r="B12656" s="2" t="s">
        <v>10155</v>
      </c>
    </row>
    <row r="12657" spans="1:2" x14ac:dyDescent="0.25">
      <c r="A12657" s="1">
        <v>90500</v>
      </c>
      <c r="B12657" s="2" t="s">
        <v>10156</v>
      </c>
    </row>
    <row r="12658" spans="1:2" x14ac:dyDescent="0.25">
      <c r="A12658" s="1">
        <v>91000</v>
      </c>
      <c r="B12658" s="2" t="s">
        <v>10157</v>
      </c>
    </row>
    <row r="12659" spans="1:2" x14ac:dyDescent="0.25">
      <c r="A12659" s="1">
        <v>91500</v>
      </c>
      <c r="B12659" s="2" t="s">
        <v>10158</v>
      </c>
    </row>
    <row r="12660" spans="1:2" x14ac:dyDescent="0.25">
      <c r="A12660" s="1">
        <v>92000</v>
      </c>
      <c r="B12660" s="2" t="s">
        <v>10159</v>
      </c>
    </row>
    <row r="12661" spans="1:2" x14ac:dyDescent="0.25">
      <c r="A12661" s="1">
        <v>92500</v>
      </c>
      <c r="B12661" s="2" t="s">
        <v>10160</v>
      </c>
    </row>
    <row r="12662" spans="1:2" x14ac:dyDescent="0.25">
      <c r="A12662" s="1">
        <v>93000</v>
      </c>
      <c r="B12662" s="2" t="s">
        <v>10161</v>
      </c>
    </row>
    <row r="12663" spans="1:2" x14ac:dyDescent="0.25">
      <c r="A12663" s="1">
        <v>93500</v>
      </c>
      <c r="B12663" s="2" t="s">
        <v>10162</v>
      </c>
    </row>
    <row r="12664" spans="1:2" x14ac:dyDescent="0.25">
      <c r="A12664" s="1">
        <v>94000</v>
      </c>
      <c r="B12664" s="2" t="s">
        <v>10163</v>
      </c>
    </row>
    <row r="12665" spans="1:2" x14ac:dyDescent="0.25">
      <c r="A12665" s="1">
        <v>94500</v>
      </c>
      <c r="B12665" s="2" t="s">
        <v>10164</v>
      </c>
    </row>
    <row r="12666" spans="1:2" x14ac:dyDescent="0.25">
      <c r="A12666" s="1">
        <v>95000</v>
      </c>
      <c r="B12666" s="2" t="s">
        <v>10165</v>
      </c>
    </row>
    <row r="12667" spans="1:2" x14ac:dyDescent="0.25">
      <c r="A12667" s="1">
        <v>95500</v>
      </c>
      <c r="B12667" s="2" t="s">
        <v>10166</v>
      </c>
    </row>
    <row r="12668" spans="1:2" x14ac:dyDescent="0.25">
      <c r="A12668" s="1">
        <v>96000</v>
      </c>
      <c r="B12668" s="2" t="s">
        <v>10167</v>
      </c>
    </row>
    <row r="12669" spans="1:2" x14ac:dyDescent="0.25">
      <c r="A12669" s="1">
        <v>96500</v>
      </c>
      <c r="B12669" s="2" t="s">
        <v>10168</v>
      </c>
    </row>
    <row r="12670" spans="1:2" x14ac:dyDescent="0.25">
      <c r="A12670" s="1">
        <v>97000</v>
      </c>
      <c r="B12670" s="2" t="s">
        <v>10169</v>
      </c>
    </row>
    <row r="12671" spans="1:2" x14ac:dyDescent="0.25">
      <c r="A12671" s="1">
        <v>97500</v>
      </c>
      <c r="B12671" s="2" t="s">
        <v>10170</v>
      </c>
    </row>
    <row r="12672" spans="1:2" x14ac:dyDescent="0.25">
      <c r="A12672" s="1">
        <v>98000</v>
      </c>
      <c r="B12672" s="2" t="s">
        <v>10171</v>
      </c>
    </row>
    <row r="12673" spans="1:2" x14ac:dyDescent="0.25">
      <c r="A12673" s="1">
        <v>98500</v>
      </c>
      <c r="B12673" s="2" t="s">
        <v>10172</v>
      </c>
    </row>
    <row r="12674" spans="1:2" x14ac:dyDescent="0.25">
      <c r="A12674" s="1">
        <v>99000</v>
      </c>
      <c r="B12674" s="2" t="s">
        <v>10173</v>
      </c>
    </row>
    <row r="12675" spans="1:2" x14ac:dyDescent="0.25">
      <c r="A12675" s="1">
        <v>99500</v>
      </c>
      <c r="B12675" s="2" t="s">
        <v>10174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10175</v>
      </c>
    </row>
    <row r="12678" spans="1:2" x14ac:dyDescent="0.25">
      <c r="A12678" s="1">
        <v>101000</v>
      </c>
      <c r="B12678" s="2" t="s">
        <v>10176</v>
      </c>
    </row>
    <row r="12679" spans="1:2" x14ac:dyDescent="0.25">
      <c r="A12679" s="1">
        <v>101500</v>
      </c>
      <c r="B12679" s="2" t="s">
        <v>10177</v>
      </c>
    </row>
    <row r="12680" spans="1:2" x14ac:dyDescent="0.25">
      <c r="A12680" s="1">
        <v>102000</v>
      </c>
      <c r="B12680" s="2" t="s">
        <v>10178</v>
      </c>
    </row>
    <row r="12681" spans="1:2" x14ac:dyDescent="0.25">
      <c r="A12681" s="1">
        <v>102500</v>
      </c>
      <c r="B12681" s="2" t="s">
        <v>10179</v>
      </c>
    </row>
    <row r="12682" spans="1:2" x14ac:dyDescent="0.25">
      <c r="A12682" s="1">
        <v>103000</v>
      </c>
      <c r="B12682" s="2" t="s">
        <v>10180</v>
      </c>
    </row>
    <row r="12683" spans="1:2" x14ac:dyDescent="0.25">
      <c r="A12683" s="1">
        <v>103500</v>
      </c>
      <c r="B12683" s="2" t="s">
        <v>10181</v>
      </c>
    </row>
    <row r="12684" spans="1:2" x14ac:dyDescent="0.25">
      <c r="A12684" s="1">
        <v>104000</v>
      </c>
      <c r="B12684" s="2" t="s">
        <v>10182</v>
      </c>
    </row>
    <row r="12685" spans="1:2" x14ac:dyDescent="0.25">
      <c r="A12685" s="1">
        <v>104500</v>
      </c>
      <c r="B12685" s="2" t="s">
        <v>10183</v>
      </c>
    </row>
    <row r="12686" spans="1:2" x14ac:dyDescent="0.25">
      <c r="A12686" s="1">
        <v>105000</v>
      </c>
      <c r="B12686" s="2" t="s">
        <v>10184</v>
      </c>
    </row>
    <row r="12687" spans="1:2" x14ac:dyDescent="0.25">
      <c r="A12687" s="1">
        <v>105500</v>
      </c>
      <c r="B12687" s="2" t="s">
        <v>10185</v>
      </c>
    </row>
    <row r="12688" spans="1:2" x14ac:dyDescent="0.25">
      <c r="A12688" s="1">
        <v>106000</v>
      </c>
      <c r="B12688" s="2" t="s">
        <v>10186</v>
      </c>
    </row>
    <row r="12689" spans="1:2" x14ac:dyDescent="0.25">
      <c r="A12689" s="1">
        <v>106500</v>
      </c>
      <c r="B12689" s="2" t="s">
        <v>10187</v>
      </c>
    </row>
    <row r="12690" spans="1:2" x14ac:dyDescent="0.25">
      <c r="A12690" s="1">
        <v>107000</v>
      </c>
      <c r="B12690" s="2" t="s">
        <v>10188</v>
      </c>
    </row>
    <row r="12691" spans="1:2" x14ac:dyDescent="0.25">
      <c r="A12691" s="1">
        <v>107500</v>
      </c>
      <c r="B12691" s="2" t="s">
        <v>10189</v>
      </c>
    </row>
    <row r="12692" spans="1:2" x14ac:dyDescent="0.25">
      <c r="A12692" s="1">
        <v>108000</v>
      </c>
      <c r="B12692" s="2" t="s">
        <v>10190</v>
      </c>
    </row>
    <row r="12693" spans="1:2" x14ac:dyDescent="0.25">
      <c r="A12693" s="1">
        <v>108500</v>
      </c>
      <c r="B12693" s="2" t="s">
        <v>10191</v>
      </c>
    </row>
    <row r="12694" spans="1:2" x14ac:dyDescent="0.25">
      <c r="A12694" s="1">
        <v>109000</v>
      </c>
      <c r="B12694" s="2" t="s">
        <v>10192</v>
      </c>
    </row>
    <row r="12695" spans="1:2" x14ac:dyDescent="0.25">
      <c r="A12695" s="1">
        <v>109500</v>
      </c>
      <c r="B12695" s="2" t="s">
        <v>10193</v>
      </c>
    </row>
    <row r="12696" spans="1:2" x14ac:dyDescent="0.25">
      <c r="A12696" s="1">
        <v>110000</v>
      </c>
      <c r="B12696" s="2" t="s">
        <v>10194</v>
      </c>
    </row>
    <row r="12697" spans="1:2" x14ac:dyDescent="0.25">
      <c r="A12697" s="1">
        <v>110500</v>
      </c>
      <c r="B12697" s="2" t="s">
        <v>10195</v>
      </c>
    </row>
    <row r="12698" spans="1:2" x14ac:dyDescent="0.25">
      <c r="A12698" s="1">
        <v>111000</v>
      </c>
      <c r="B12698" s="2" t="s">
        <v>10196</v>
      </c>
    </row>
    <row r="12699" spans="1:2" x14ac:dyDescent="0.25">
      <c r="A12699" s="1">
        <v>111500</v>
      </c>
      <c r="B12699" s="2" t="s">
        <v>10197</v>
      </c>
    </row>
    <row r="12700" spans="1:2" x14ac:dyDescent="0.25">
      <c r="A12700" s="1">
        <v>112000</v>
      </c>
      <c r="B12700" s="2" t="s">
        <v>10198</v>
      </c>
    </row>
    <row r="12701" spans="1:2" x14ac:dyDescent="0.25">
      <c r="A12701" s="1">
        <v>112500</v>
      </c>
      <c r="B12701" s="2" t="s">
        <v>10199</v>
      </c>
    </row>
    <row r="12702" spans="1:2" x14ac:dyDescent="0.25">
      <c r="A12702" s="1">
        <v>113000</v>
      </c>
      <c r="B12702" s="2" t="s">
        <v>10200</v>
      </c>
    </row>
    <row r="12703" spans="1:2" x14ac:dyDescent="0.25">
      <c r="A12703" s="1">
        <v>113500</v>
      </c>
      <c r="B12703" s="2" t="s">
        <v>10201</v>
      </c>
    </row>
    <row r="12704" spans="1:2" x14ac:dyDescent="0.25">
      <c r="A12704" s="1">
        <v>114000</v>
      </c>
      <c r="B12704" s="2" t="s">
        <v>10202</v>
      </c>
    </row>
    <row r="12705" spans="1:2" x14ac:dyDescent="0.25">
      <c r="A12705" s="1">
        <v>114500</v>
      </c>
      <c r="B12705" s="2" t="s">
        <v>10203</v>
      </c>
    </row>
    <row r="12706" spans="1:2" x14ac:dyDescent="0.25">
      <c r="A12706" s="1">
        <v>115000</v>
      </c>
      <c r="B12706" s="2" t="s">
        <v>10204</v>
      </c>
    </row>
    <row r="12707" spans="1:2" x14ac:dyDescent="0.25">
      <c r="A12707" s="1">
        <v>115500</v>
      </c>
      <c r="B12707" s="2" t="s">
        <v>10205</v>
      </c>
    </row>
    <row r="12708" spans="1:2" x14ac:dyDescent="0.25">
      <c r="A12708" s="1">
        <v>116000</v>
      </c>
      <c r="B12708" s="2" t="s">
        <v>10206</v>
      </c>
    </row>
    <row r="12709" spans="1:2" x14ac:dyDescent="0.25">
      <c r="A12709" s="1">
        <v>116500</v>
      </c>
      <c r="B12709" s="2" t="s">
        <v>10207</v>
      </c>
    </row>
    <row r="12710" spans="1:2" x14ac:dyDescent="0.25">
      <c r="A12710" s="1">
        <v>117000</v>
      </c>
      <c r="B12710" s="2" t="s">
        <v>10208</v>
      </c>
    </row>
    <row r="12711" spans="1:2" x14ac:dyDescent="0.25">
      <c r="A12711" s="1">
        <v>117500</v>
      </c>
      <c r="B12711" s="2" t="s">
        <v>10209</v>
      </c>
    </row>
    <row r="12712" spans="1:2" x14ac:dyDescent="0.25">
      <c r="A12712" s="1">
        <v>118000</v>
      </c>
      <c r="B12712" s="2" t="s">
        <v>10210</v>
      </c>
    </row>
    <row r="12713" spans="1:2" x14ac:dyDescent="0.25">
      <c r="A12713" s="1">
        <v>118500</v>
      </c>
      <c r="B12713" s="2" t="s">
        <v>10211</v>
      </c>
    </row>
    <row r="12714" spans="1:2" x14ac:dyDescent="0.25">
      <c r="A12714" s="1">
        <v>119000</v>
      </c>
      <c r="B12714" s="2" t="s">
        <v>10212</v>
      </c>
    </row>
    <row r="12715" spans="1:2" x14ac:dyDescent="0.25">
      <c r="A12715" s="1">
        <v>119500</v>
      </c>
      <c r="B12715" s="2" t="s">
        <v>10213</v>
      </c>
    </row>
    <row r="12716" spans="1:2" x14ac:dyDescent="0.25">
      <c r="A12716" s="1">
        <v>120000</v>
      </c>
      <c r="B12716" s="2" t="s">
        <v>10214</v>
      </c>
    </row>
    <row r="12717" spans="1:2" x14ac:dyDescent="0.25">
      <c r="A12717" s="1">
        <v>120500</v>
      </c>
      <c r="B12717" s="2" t="s">
        <v>10215</v>
      </c>
    </row>
    <row r="12718" spans="1:2" x14ac:dyDescent="0.25">
      <c r="A12718" s="1">
        <v>121000</v>
      </c>
      <c r="B12718" s="2" t="s">
        <v>10216</v>
      </c>
    </row>
    <row r="12719" spans="1:2" x14ac:dyDescent="0.25">
      <c r="A12719" s="1">
        <v>121500</v>
      </c>
      <c r="B12719" s="2" t="s">
        <v>10217</v>
      </c>
    </row>
    <row r="12720" spans="1:2" x14ac:dyDescent="0.25">
      <c r="A12720" s="1">
        <v>122000</v>
      </c>
      <c r="B12720" s="2" t="s">
        <v>10218</v>
      </c>
    </row>
    <row r="12721" spans="1:2" x14ac:dyDescent="0.25">
      <c r="A12721" s="1">
        <v>122500</v>
      </c>
      <c r="B12721" s="2" t="s">
        <v>10219</v>
      </c>
    </row>
    <row r="12722" spans="1:2" x14ac:dyDescent="0.25">
      <c r="A12722" s="1">
        <v>123000</v>
      </c>
      <c r="B12722" s="2" t="s">
        <v>10220</v>
      </c>
    </row>
    <row r="12723" spans="1:2" x14ac:dyDescent="0.25">
      <c r="A12723" s="1">
        <v>123500</v>
      </c>
      <c r="B12723" s="2" t="s">
        <v>10221</v>
      </c>
    </row>
    <row r="12724" spans="1:2" x14ac:dyDescent="0.25">
      <c r="A12724" s="1">
        <v>124000</v>
      </c>
      <c r="B12724" s="2" t="s">
        <v>10222</v>
      </c>
    </row>
    <row r="12725" spans="1:2" x14ac:dyDescent="0.25">
      <c r="A12725" s="1">
        <v>124500</v>
      </c>
      <c r="B12725" s="2" t="s">
        <v>10223</v>
      </c>
    </row>
    <row r="12726" spans="1:2" x14ac:dyDescent="0.25">
      <c r="A12726" s="1">
        <v>125000</v>
      </c>
      <c r="B12726" s="2" t="s">
        <v>10224</v>
      </c>
    </row>
    <row r="12727" spans="1:2" x14ac:dyDescent="0.25">
      <c r="A12727" s="1">
        <v>125500</v>
      </c>
      <c r="B12727" s="2" t="s">
        <v>10225</v>
      </c>
    </row>
    <row r="12728" spans="1:2" x14ac:dyDescent="0.25">
      <c r="A12728" s="1">
        <v>126000</v>
      </c>
      <c r="B12728" s="2" t="s">
        <v>10226</v>
      </c>
    </row>
    <row r="12729" spans="1:2" x14ac:dyDescent="0.25">
      <c r="A12729" s="1">
        <v>126500</v>
      </c>
      <c r="B12729" s="2" t="s">
        <v>10227</v>
      </c>
    </row>
    <row r="12730" spans="1:2" x14ac:dyDescent="0.25">
      <c r="A12730" s="1">
        <v>127000</v>
      </c>
      <c r="B12730" s="2" t="s">
        <v>10228</v>
      </c>
    </row>
    <row r="12731" spans="1:2" x14ac:dyDescent="0.25">
      <c r="A12731" s="1">
        <v>127500</v>
      </c>
      <c r="B12731" s="2" t="s">
        <v>10229</v>
      </c>
    </row>
    <row r="12732" spans="1:2" x14ac:dyDescent="0.25">
      <c r="A12732" s="1">
        <v>128000</v>
      </c>
      <c r="B12732" s="2" t="s">
        <v>10230</v>
      </c>
    </row>
    <row r="12733" spans="1:2" x14ac:dyDescent="0.25">
      <c r="A12733" s="1">
        <v>128500</v>
      </c>
      <c r="B12733" s="2" t="s">
        <v>10231</v>
      </c>
    </row>
    <row r="12734" spans="1:2" x14ac:dyDescent="0.25">
      <c r="A12734" s="1">
        <v>129000</v>
      </c>
      <c r="B12734" s="2" t="s">
        <v>10232</v>
      </c>
    </row>
    <row r="12735" spans="1:2" x14ac:dyDescent="0.25">
      <c r="A12735" s="1">
        <v>129500</v>
      </c>
      <c r="B12735" s="2" t="s">
        <v>10233</v>
      </c>
    </row>
    <row r="12736" spans="1:2" x14ac:dyDescent="0.25">
      <c r="A12736" s="1">
        <v>130000</v>
      </c>
      <c r="B12736" s="2" t="s">
        <v>10234</v>
      </c>
    </row>
    <row r="12737" spans="1:2" x14ac:dyDescent="0.25">
      <c r="A12737" s="1">
        <v>130500</v>
      </c>
      <c r="B12737" s="2" t="s">
        <v>10235</v>
      </c>
    </row>
    <row r="12738" spans="1:2" x14ac:dyDescent="0.25">
      <c r="A12738" s="1">
        <v>131000</v>
      </c>
      <c r="B12738" s="2" t="s">
        <v>10236</v>
      </c>
    </row>
    <row r="12739" spans="1:2" x14ac:dyDescent="0.25">
      <c r="A12739" s="1">
        <v>131500</v>
      </c>
      <c r="B12739" s="2" t="s">
        <v>10237</v>
      </c>
    </row>
    <row r="12740" spans="1:2" x14ac:dyDescent="0.25">
      <c r="A12740" s="1">
        <v>132000</v>
      </c>
      <c r="B12740" s="2" t="s">
        <v>10238</v>
      </c>
    </row>
    <row r="12741" spans="1:2" x14ac:dyDescent="0.25">
      <c r="A12741" s="1">
        <v>132500</v>
      </c>
      <c r="B12741" s="2" t="s">
        <v>10239</v>
      </c>
    </row>
    <row r="12742" spans="1:2" x14ac:dyDescent="0.25">
      <c r="A12742" s="1">
        <v>133000</v>
      </c>
      <c r="B12742" s="2" t="s">
        <v>10240</v>
      </c>
    </row>
    <row r="12743" spans="1:2" x14ac:dyDescent="0.25">
      <c r="A12743" s="1">
        <v>133500</v>
      </c>
      <c r="B12743" s="2" t="s">
        <v>10241</v>
      </c>
    </row>
    <row r="12744" spans="1:2" x14ac:dyDescent="0.25">
      <c r="A12744" s="1">
        <v>134000</v>
      </c>
      <c r="B12744" s="2" t="s">
        <v>10242</v>
      </c>
    </row>
    <row r="12745" spans="1:2" x14ac:dyDescent="0.25">
      <c r="A12745" s="1">
        <v>134500</v>
      </c>
      <c r="B12745" s="2" t="s">
        <v>10243</v>
      </c>
    </row>
    <row r="12746" spans="1:2" x14ac:dyDescent="0.25">
      <c r="A12746" s="1">
        <v>135000</v>
      </c>
      <c r="B12746" s="2" t="s">
        <v>10244</v>
      </c>
    </row>
    <row r="12747" spans="1:2" x14ac:dyDescent="0.25">
      <c r="A12747" s="1">
        <v>135500</v>
      </c>
      <c r="B12747" s="2" t="s">
        <v>10245</v>
      </c>
    </row>
    <row r="12748" spans="1:2" x14ac:dyDescent="0.25">
      <c r="A12748" s="1">
        <v>136000</v>
      </c>
      <c r="B12748" s="2" t="s">
        <v>10246</v>
      </c>
    </row>
    <row r="12749" spans="1:2" x14ac:dyDescent="0.25">
      <c r="A12749" s="1">
        <v>136500</v>
      </c>
      <c r="B12749" s="2" t="s">
        <v>10247</v>
      </c>
    </row>
    <row r="12750" spans="1:2" x14ac:dyDescent="0.25">
      <c r="A12750" s="1">
        <v>137000</v>
      </c>
      <c r="B12750" s="2" t="s">
        <v>10248</v>
      </c>
    </row>
    <row r="12751" spans="1:2" x14ac:dyDescent="0.25">
      <c r="A12751" s="1">
        <v>137500</v>
      </c>
      <c r="B12751" s="2" t="s">
        <v>10249</v>
      </c>
    </row>
    <row r="12752" spans="1:2" x14ac:dyDescent="0.25">
      <c r="A12752" s="1">
        <v>138000</v>
      </c>
      <c r="B12752" s="2" t="s">
        <v>10250</v>
      </c>
    </row>
    <row r="12753" spans="1:2" x14ac:dyDescent="0.25">
      <c r="A12753" s="1">
        <v>138500</v>
      </c>
      <c r="B12753" s="2" t="s">
        <v>10251</v>
      </c>
    </row>
    <row r="12754" spans="1:2" x14ac:dyDescent="0.25">
      <c r="A12754" s="1">
        <v>139000</v>
      </c>
      <c r="B12754" s="2" t="s">
        <v>10252</v>
      </c>
    </row>
    <row r="12755" spans="1:2" x14ac:dyDescent="0.25">
      <c r="A12755" s="1">
        <v>139500</v>
      </c>
      <c r="B12755" s="2" t="s">
        <v>10253</v>
      </c>
    </row>
    <row r="12756" spans="1:2" x14ac:dyDescent="0.25">
      <c r="A12756" s="1">
        <v>140000</v>
      </c>
      <c r="B12756" s="2" t="s">
        <v>10254</v>
      </c>
    </row>
    <row r="12757" spans="1:2" x14ac:dyDescent="0.25">
      <c r="A12757" s="1">
        <v>140500</v>
      </c>
      <c r="B12757" s="2" t="s">
        <v>10255</v>
      </c>
    </row>
    <row r="12758" spans="1:2" x14ac:dyDescent="0.25">
      <c r="A12758" s="1">
        <v>141000</v>
      </c>
      <c r="B12758" s="2" t="s">
        <v>10256</v>
      </c>
    </row>
    <row r="12759" spans="1:2" x14ac:dyDescent="0.25">
      <c r="A12759" s="1">
        <v>141500</v>
      </c>
      <c r="B12759" s="2" t="s">
        <v>10257</v>
      </c>
    </row>
    <row r="12760" spans="1:2" x14ac:dyDescent="0.25">
      <c r="A12760" s="1">
        <v>142000</v>
      </c>
      <c r="B12760" s="2" t="s">
        <v>10258</v>
      </c>
    </row>
    <row r="12761" spans="1:2" x14ac:dyDescent="0.25">
      <c r="A12761" s="1">
        <v>142500</v>
      </c>
      <c r="B12761" s="2" t="s">
        <v>10259</v>
      </c>
    </row>
    <row r="12762" spans="1:2" x14ac:dyDescent="0.25">
      <c r="A12762" s="1">
        <v>143000</v>
      </c>
      <c r="B12762" s="2" t="s">
        <v>10260</v>
      </c>
    </row>
    <row r="12763" spans="1:2" x14ac:dyDescent="0.25">
      <c r="A12763" s="1">
        <v>143500</v>
      </c>
      <c r="B12763" s="2" t="s">
        <v>10261</v>
      </c>
    </row>
    <row r="12764" spans="1:2" x14ac:dyDescent="0.25">
      <c r="A12764" s="1">
        <v>144000</v>
      </c>
      <c r="B12764" s="2" t="s">
        <v>10262</v>
      </c>
    </row>
    <row r="12765" spans="1:2" x14ac:dyDescent="0.25">
      <c r="A12765" s="1">
        <v>144500</v>
      </c>
      <c r="B12765" s="2" t="s">
        <v>10263</v>
      </c>
    </row>
    <row r="12766" spans="1:2" x14ac:dyDescent="0.25">
      <c r="A12766" s="1">
        <v>145000</v>
      </c>
      <c r="B12766" s="2" t="s">
        <v>10264</v>
      </c>
    </row>
    <row r="12767" spans="1:2" x14ac:dyDescent="0.25">
      <c r="A12767" s="1">
        <v>145500</v>
      </c>
      <c r="B12767" s="2" t="s">
        <v>10265</v>
      </c>
    </row>
    <row r="12768" spans="1:2" x14ac:dyDescent="0.25">
      <c r="A12768" s="1">
        <v>146000</v>
      </c>
      <c r="B12768" s="2" t="s">
        <v>10266</v>
      </c>
    </row>
    <row r="12769" spans="1:2" x14ac:dyDescent="0.25">
      <c r="A12769" s="1">
        <v>146500</v>
      </c>
      <c r="B12769" s="2" t="s">
        <v>10267</v>
      </c>
    </row>
    <row r="12770" spans="1:2" x14ac:dyDescent="0.25">
      <c r="A12770" s="1">
        <v>147000</v>
      </c>
      <c r="B12770" s="2" t="s">
        <v>10268</v>
      </c>
    </row>
    <row r="12771" spans="1:2" x14ac:dyDescent="0.25">
      <c r="A12771" s="1">
        <v>147500</v>
      </c>
      <c r="B12771" s="2" t="s">
        <v>10269</v>
      </c>
    </row>
    <row r="12772" spans="1:2" x14ac:dyDescent="0.25">
      <c r="A12772" s="1">
        <v>148000</v>
      </c>
      <c r="B12772" s="2" t="s">
        <v>10270</v>
      </c>
    </row>
    <row r="12773" spans="1:2" x14ac:dyDescent="0.25">
      <c r="A12773" s="1">
        <v>148500</v>
      </c>
      <c r="B12773" s="2" t="s">
        <v>10271</v>
      </c>
    </row>
    <row r="12774" spans="1:2" x14ac:dyDescent="0.25">
      <c r="A12774" s="1">
        <v>149000</v>
      </c>
      <c r="B12774" s="2" t="s">
        <v>10272</v>
      </c>
    </row>
    <row r="12775" spans="1:2" x14ac:dyDescent="0.25">
      <c r="A12775" s="1">
        <v>149500</v>
      </c>
      <c r="B12775" s="2" t="s">
        <v>10273</v>
      </c>
    </row>
    <row r="12776" spans="1:2" x14ac:dyDescent="0.25">
      <c r="A12776" s="1">
        <v>150000</v>
      </c>
      <c r="B12776" s="2" t="s">
        <v>10274</v>
      </c>
    </row>
    <row r="12777" spans="1:2" x14ac:dyDescent="0.25">
      <c r="A12777" s="1">
        <v>150500</v>
      </c>
      <c r="B12777" s="2" t="s">
        <v>10275</v>
      </c>
    </row>
    <row r="12778" spans="1:2" x14ac:dyDescent="0.25">
      <c r="A12778" s="1">
        <v>151000</v>
      </c>
      <c r="B12778" s="2" t="s">
        <v>10276</v>
      </c>
    </row>
    <row r="12779" spans="1:2" x14ac:dyDescent="0.25">
      <c r="A12779" s="1">
        <v>151500</v>
      </c>
      <c r="B12779" s="2" t="s">
        <v>10277</v>
      </c>
    </row>
    <row r="12780" spans="1:2" x14ac:dyDescent="0.25">
      <c r="A12780" s="1">
        <v>152000</v>
      </c>
      <c r="B12780" s="2" t="s">
        <v>10278</v>
      </c>
    </row>
    <row r="12781" spans="1:2" x14ac:dyDescent="0.25">
      <c r="A12781" s="1">
        <v>152500</v>
      </c>
      <c r="B12781" s="2" t="s">
        <v>10279</v>
      </c>
    </row>
    <row r="12782" spans="1:2" x14ac:dyDescent="0.25">
      <c r="A12782" s="1">
        <v>153000</v>
      </c>
      <c r="B12782" s="2" t="s">
        <v>10280</v>
      </c>
    </row>
    <row r="12783" spans="1:2" x14ac:dyDescent="0.25">
      <c r="A12783" s="1">
        <v>153500</v>
      </c>
      <c r="B12783" s="2" t="s">
        <v>10281</v>
      </c>
    </row>
    <row r="12784" spans="1:2" x14ac:dyDescent="0.25">
      <c r="A12784" s="1">
        <v>154000</v>
      </c>
      <c r="B12784" s="2" t="s">
        <v>10282</v>
      </c>
    </row>
    <row r="12785" spans="1:2" x14ac:dyDescent="0.25">
      <c r="A12785" s="1">
        <v>154500</v>
      </c>
      <c r="B12785" s="2" t="s">
        <v>10283</v>
      </c>
    </row>
    <row r="12786" spans="1:2" x14ac:dyDescent="0.25">
      <c r="A12786" s="1">
        <v>155000</v>
      </c>
      <c r="B12786" s="2" t="s">
        <v>10284</v>
      </c>
    </row>
    <row r="12787" spans="1:2" x14ac:dyDescent="0.25">
      <c r="A12787" s="1">
        <v>155500</v>
      </c>
      <c r="B12787" s="2" t="s">
        <v>10285</v>
      </c>
    </row>
    <row r="12788" spans="1:2" x14ac:dyDescent="0.25">
      <c r="A12788" s="1">
        <v>156000</v>
      </c>
      <c r="B12788" s="2" t="s">
        <v>10286</v>
      </c>
    </row>
    <row r="12789" spans="1:2" x14ac:dyDescent="0.25">
      <c r="A12789" s="1">
        <v>156500</v>
      </c>
      <c r="B12789" s="2" t="s">
        <v>10287</v>
      </c>
    </row>
    <row r="12790" spans="1:2" x14ac:dyDescent="0.25">
      <c r="A12790" s="1">
        <v>157000</v>
      </c>
      <c r="B12790" s="2" t="s">
        <v>10288</v>
      </c>
    </row>
    <row r="12791" spans="1:2" x14ac:dyDescent="0.25">
      <c r="A12791" s="1">
        <v>157500</v>
      </c>
      <c r="B12791" s="2" t="s">
        <v>10289</v>
      </c>
    </row>
    <row r="12792" spans="1:2" x14ac:dyDescent="0.25">
      <c r="A12792" s="1">
        <v>158000</v>
      </c>
      <c r="B12792" s="2" t="s">
        <v>10290</v>
      </c>
    </row>
    <row r="12793" spans="1:2" x14ac:dyDescent="0.25">
      <c r="A12793" s="1">
        <v>158500</v>
      </c>
      <c r="B12793" s="2" t="s">
        <v>10291</v>
      </c>
    </row>
    <row r="12794" spans="1:2" x14ac:dyDescent="0.25">
      <c r="A12794" s="1">
        <v>159000</v>
      </c>
      <c r="B12794" s="2" t="s">
        <v>10292</v>
      </c>
    </row>
    <row r="12795" spans="1:2" x14ac:dyDescent="0.25">
      <c r="A12795" s="1">
        <v>159500</v>
      </c>
      <c r="B12795" s="2" t="s">
        <v>10293</v>
      </c>
    </row>
    <row r="12796" spans="1:2" x14ac:dyDescent="0.25">
      <c r="A12796" s="1">
        <v>160000</v>
      </c>
      <c r="B12796" s="2" t="s">
        <v>10294</v>
      </c>
    </row>
    <row r="12797" spans="1:2" x14ac:dyDescent="0.25">
      <c r="A12797" s="1">
        <v>160500</v>
      </c>
      <c r="B12797" s="2" t="s">
        <v>10295</v>
      </c>
    </row>
    <row r="12798" spans="1:2" x14ac:dyDescent="0.25">
      <c r="A12798" s="1">
        <v>161000</v>
      </c>
      <c r="B12798" s="2" t="s">
        <v>10296</v>
      </c>
    </row>
    <row r="12799" spans="1:2" x14ac:dyDescent="0.25">
      <c r="A12799" s="1">
        <v>161500</v>
      </c>
      <c r="B12799" s="2" t="s">
        <v>10297</v>
      </c>
    </row>
    <row r="12800" spans="1:2" x14ac:dyDescent="0.25">
      <c r="A12800" s="1">
        <v>162000</v>
      </c>
      <c r="B12800" s="2" t="s">
        <v>10298</v>
      </c>
    </row>
    <row r="12801" spans="1:2" x14ac:dyDescent="0.25">
      <c r="A12801" s="1">
        <v>162500</v>
      </c>
      <c r="B12801" s="2" t="s">
        <v>10299</v>
      </c>
    </row>
    <row r="12802" spans="1:2" x14ac:dyDescent="0.25">
      <c r="A12802" s="1">
        <v>163000</v>
      </c>
      <c r="B12802" s="2" t="s">
        <v>10300</v>
      </c>
    </row>
    <row r="12803" spans="1:2" x14ac:dyDescent="0.25">
      <c r="A12803" s="1">
        <v>163500</v>
      </c>
      <c r="B12803" s="2" t="s">
        <v>10301</v>
      </c>
    </row>
    <row r="12804" spans="1:2" x14ac:dyDescent="0.25">
      <c r="A12804" s="1">
        <v>164000</v>
      </c>
      <c r="B12804" s="2" t="s">
        <v>10302</v>
      </c>
    </row>
    <row r="12805" spans="1:2" x14ac:dyDescent="0.25">
      <c r="A12805" s="1">
        <v>164500</v>
      </c>
      <c r="B12805" s="2" t="s">
        <v>10303</v>
      </c>
    </row>
    <row r="12806" spans="1:2" x14ac:dyDescent="0.25">
      <c r="A12806" s="1">
        <v>165000</v>
      </c>
      <c r="B12806" s="2" t="s">
        <v>10304</v>
      </c>
    </row>
    <row r="12807" spans="1:2" x14ac:dyDescent="0.25">
      <c r="A12807" s="1">
        <v>165500</v>
      </c>
      <c r="B12807" s="2" t="s">
        <v>10305</v>
      </c>
    </row>
    <row r="12808" spans="1:2" x14ac:dyDescent="0.25">
      <c r="A12808" s="1">
        <v>166000</v>
      </c>
      <c r="B12808" s="2" t="s">
        <v>10306</v>
      </c>
    </row>
    <row r="12809" spans="1:2" x14ac:dyDescent="0.25">
      <c r="A12809" s="1">
        <v>166500</v>
      </c>
      <c r="B12809" s="2" t="s">
        <v>10307</v>
      </c>
    </row>
    <row r="12810" spans="1:2" x14ac:dyDescent="0.25">
      <c r="A12810" s="1">
        <v>167000</v>
      </c>
      <c r="B12810" s="2" t="s">
        <v>10308</v>
      </c>
    </row>
    <row r="12811" spans="1:2" x14ac:dyDescent="0.25">
      <c r="A12811" s="1">
        <v>167500</v>
      </c>
      <c r="B12811" s="2" t="s">
        <v>10309</v>
      </c>
    </row>
    <row r="12812" spans="1:2" x14ac:dyDescent="0.25">
      <c r="A12812" s="1">
        <v>168000</v>
      </c>
      <c r="B12812" s="2" t="s">
        <v>10310</v>
      </c>
    </row>
    <row r="12813" spans="1:2" x14ac:dyDescent="0.25">
      <c r="A12813" s="1">
        <v>168500</v>
      </c>
      <c r="B12813" s="2" t="s">
        <v>10311</v>
      </c>
    </row>
    <row r="12814" spans="1:2" x14ac:dyDescent="0.25">
      <c r="A12814" s="1">
        <v>169000</v>
      </c>
      <c r="B12814" s="2" t="s">
        <v>10312</v>
      </c>
    </row>
    <row r="12815" spans="1:2" x14ac:dyDescent="0.25">
      <c r="A12815" s="1">
        <v>169500</v>
      </c>
      <c r="B12815" s="2" t="s">
        <v>10313</v>
      </c>
    </row>
    <row r="12816" spans="1:2" x14ac:dyDescent="0.25">
      <c r="A12816" s="1">
        <v>170000</v>
      </c>
      <c r="B12816" s="2" t="s">
        <v>10314</v>
      </c>
    </row>
    <row r="12817" spans="1:2" x14ac:dyDescent="0.25">
      <c r="A12817" s="1">
        <v>170500</v>
      </c>
      <c r="B12817" s="2" t="s">
        <v>10315</v>
      </c>
    </row>
    <row r="12818" spans="1:2" x14ac:dyDescent="0.25">
      <c r="A12818" s="1">
        <v>171000</v>
      </c>
      <c r="B12818" s="2" t="s">
        <v>10316</v>
      </c>
    </row>
    <row r="12819" spans="1:2" x14ac:dyDescent="0.25">
      <c r="A12819" s="1">
        <v>171500</v>
      </c>
      <c r="B12819" s="2" t="s">
        <v>10317</v>
      </c>
    </row>
    <row r="12820" spans="1:2" x14ac:dyDescent="0.25">
      <c r="A12820" s="1">
        <v>172000</v>
      </c>
      <c r="B12820" s="2" t="s">
        <v>10318</v>
      </c>
    </row>
    <row r="12821" spans="1:2" x14ac:dyDescent="0.25">
      <c r="A12821" s="1">
        <v>172500</v>
      </c>
      <c r="B12821" s="2" t="s">
        <v>10319</v>
      </c>
    </row>
    <row r="12822" spans="1:2" x14ac:dyDescent="0.25">
      <c r="A12822" s="1">
        <v>173000</v>
      </c>
      <c r="B12822" s="2" t="s">
        <v>10320</v>
      </c>
    </row>
    <row r="12823" spans="1:2" x14ac:dyDescent="0.25">
      <c r="A12823" s="1">
        <v>173500</v>
      </c>
      <c r="B12823" s="2" t="s">
        <v>10321</v>
      </c>
    </row>
    <row r="12824" spans="1:2" x14ac:dyDescent="0.25">
      <c r="A12824" s="1">
        <v>174000</v>
      </c>
      <c r="B12824" s="2" t="s">
        <v>10322</v>
      </c>
    </row>
    <row r="12825" spans="1:2" x14ac:dyDescent="0.25">
      <c r="A12825" s="1">
        <v>174500</v>
      </c>
      <c r="B12825" s="2" t="s">
        <v>10323</v>
      </c>
    </row>
    <row r="12826" spans="1:2" x14ac:dyDescent="0.25">
      <c r="A12826" s="1">
        <v>175000</v>
      </c>
      <c r="B12826" s="2" t="s">
        <v>10324</v>
      </c>
    </row>
    <row r="12827" spans="1:2" x14ac:dyDescent="0.25">
      <c r="A12827" s="1">
        <v>175500</v>
      </c>
      <c r="B12827" s="2" t="s">
        <v>10325</v>
      </c>
    </row>
    <row r="12828" spans="1:2" x14ac:dyDescent="0.25">
      <c r="A12828" s="1">
        <v>176000</v>
      </c>
      <c r="B12828" s="2" t="s">
        <v>10326</v>
      </c>
    </row>
    <row r="12829" spans="1:2" x14ac:dyDescent="0.25">
      <c r="A12829" s="1">
        <v>176500</v>
      </c>
      <c r="B12829" s="2" t="s">
        <v>10327</v>
      </c>
    </row>
    <row r="12830" spans="1:2" x14ac:dyDescent="0.25">
      <c r="A12830" s="1">
        <v>177000</v>
      </c>
      <c r="B12830" s="2" t="s">
        <v>10328</v>
      </c>
    </row>
    <row r="12831" spans="1:2" x14ac:dyDescent="0.25">
      <c r="A12831" s="1">
        <v>177500</v>
      </c>
      <c r="B12831" s="2" t="s">
        <v>10329</v>
      </c>
    </row>
    <row r="12832" spans="1:2" x14ac:dyDescent="0.25">
      <c r="A12832" s="1">
        <v>178000</v>
      </c>
      <c r="B12832" s="2" t="s">
        <v>10330</v>
      </c>
    </row>
    <row r="12833" spans="1:2" x14ac:dyDescent="0.25">
      <c r="A12833" s="1">
        <v>178500</v>
      </c>
      <c r="B12833" s="2" t="s">
        <v>10331</v>
      </c>
    </row>
    <row r="12834" spans="1:2" x14ac:dyDescent="0.25">
      <c r="A12834" s="1">
        <v>179000</v>
      </c>
      <c r="B12834" s="2" t="s">
        <v>10332</v>
      </c>
    </row>
    <row r="12835" spans="1:2" x14ac:dyDescent="0.25">
      <c r="A12835" s="1">
        <v>179500</v>
      </c>
      <c r="B12835" s="2" t="s">
        <v>10333</v>
      </c>
    </row>
    <row r="12836" spans="1:2" x14ac:dyDescent="0.25">
      <c r="A12836" s="1">
        <v>180000</v>
      </c>
      <c r="B12836" s="2" t="s">
        <v>10334</v>
      </c>
    </row>
    <row r="12837" spans="1:2" x14ac:dyDescent="0.25">
      <c r="A12837" s="1">
        <v>180500</v>
      </c>
      <c r="B12837" s="2" t="s">
        <v>10335</v>
      </c>
    </row>
    <row r="12838" spans="1:2" x14ac:dyDescent="0.25">
      <c r="A12838" s="1">
        <v>181000</v>
      </c>
      <c r="B12838" s="2" t="s">
        <v>10336</v>
      </c>
    </row>
    <row r="12839" spans="1:2" x14ac:dyDescent="0.25">
      <c r="A12839" s="1">
        <v>181500</v>
      </c>
      <c r="B12839" s="2" t="s">
        <v>10337</v>
      </c>
    </row>
    <row r="12840" spans="1:2" x14ac:dyDescent="0.25">
      <c r="A12840" s="1">
        <v>182000</v>
      </c>
      <c r="B12840" s="2" t="s">
        <v>10338</v>
      </c>
    </row>
    <row r="12841" spans="1:2" x14ac:dyDescent="0.25">
      <c r="A12841" s="1">
        <v>182500</v>
      </c>
      <c r="B12841" s="2" t="s">
        <v>10339</v>
      </c>
    </row>
    <row r="12842" spans="1:2" x14ac:dyDescent="0.25">
      <c r="A12842" s="1">
        <v>183000</v>
      </c>
      <c r="B12842" s="2" t="s">
        <v>10340</v>
      </c>
    </row>
    <row r="12843" spans="1:2" x14ac:dyDescent="0.25">
      <c r="A12843" s="1">
        <v>183500</v>
      </c>
      <c r="B12843" s="2" t="s">
        <v>10341</v>
      </c>
    </row>
    <row r="12844" spans="1:2" x14ac:dyDescent="0.25">
      <c r="A12844" s="1">
        <v>184000</v>
      </c>
      <c r="B12844" s="2" t="s">
        <v>10342</v>
      </c>
    </row>
    <row r="12845" spans="1:2" x14ac:dyDescent="0.25">
      <c r="A12845" s="1">
        <v>184500</v>
      </c>
      <c r="B12845" s="2" t="s">
        <v>10343</v>
      </c>
    </row>
    <row r="12846" spans="1:2" x14ac:dyDescent="0.25">
      <c r="A12846" s="1">
        <v>185000</v>
      </c>
      <c r="B12846" s="2" t="s">
        <v>10344</v>
      </c>
    </row>
    <row r="12847" spans="1:2" x14ac:dyDescent="0.25">
      <c r="A12847" s="1">
        <v>185500</v>
      </c>
      <c r="B12847" s="2" t="s">
        <v>10345</v>
      </c>
    </row>
    <row r="12848" spans="1:2" x14ac:dyDescent="0.25">
      <c r="A12848" s="1">
        <v>186000</v>
      </c>
      <c r="B12848" s="2" t="s">
        <v>10346</v>
      </c>
    </row>
    <row r="12849" spans="1:2" x14ac:dyDescent="0.25">
      <c r="A12849" s="1">
        <v>186500</v>
      </c>
      <c r="B12849" s="2" t="s">
        <v>10347</v>
      </c>
    </row>
    <row r="12850" spans="1:2" x14ac:dyDescent="0.25">
      <c r="A12850" s="1">
        <v>187000</v>
      </c>
      <c r="B12850" s="2" t="s">
        <v>10348</v>
      </c>
    </row>
    <row r="12851" spans="1:2" x14ac:dyDescent="0.25">
      <c r="A12851" s="1">
        <v>187500</v>
      </c>
      <c r="B12851" s="2" t="s">
        <v>10349</v>
      </c>
    </row>
    <row r="12852" spans="1:2" x14ac:dyDescent="0.25">
      <c r="A12852" s="1">
        <v>188000</v>
      </c>
      <c r="B12852" s="2" t="s">
        <v>10350</v>
      </c>
    </row>
    <row r="12853" spans="1:2" x14ac:dyDescent="0.25">
      <c r="A12853" s="1">
        <v>188500</v>
      </c>
      <c r="B12853" s="2" t="s">
        <v>10351</v>
      </c>
    </row>
    <row r="12854" spans="1:2" x14ac:dyDescent="0.25">
      <c r="A12854" s="1">
        <v>189000</v>
      </c>
      <c r="B12854" s="2" t="s">
        <v>10352</v>
      </c>
    </row>
    <row r="12855" spans="1:2" x14ac:dyDescent="0.25">
      <c r="A12855" s="1">
        <v>189500</v>
      </c>
      <c r="B12855" s="2" t="s">
        <v>10353</v>
      </c>
    </row>
    <row r="12856" spans="1:2" x14ac:dyDescent="0.25">
      <c r="A12856" s="1">
        <v>190000</v>
      </c>
      <c r="B12856" s="2" t="s">
        <v>10354</v>
      </c>
    </row>
    <row r="12857" spans="1:2" x14ac:dyDescent="0.25">
      <c r="A12857" s="1">
        <v>190500</v>
      </c>
      <c r="B12857" s="2" t="s">
        <v>10355</v>
      </c>
    </row>
    <row r="12858" spans="1:2" x14ac:dyDescent="0.25">
      <c r="A12858" s="1">
        <v>191000</v>
      </c>
      <c r="B12858" s="2" t="s">
        <v>10356</v>
      </c>
    </row>
    <row r="12859" spans="1:2" x14ac:dyDescent="0.25">
      <c r="A12859" s="1">
        <v>191500</v>
      </c>
      <c r="B12859" s="2" t="s">
        <v>10357</v>
      </c>
    </row>
    <row r="12860" spans="1:2" x14ac:dyDescent="0.25">
      <c r="A12860" s="1">
        <v>192000</v>
      </c>
      <c r="B12860" s="2" t="s">
        <v>10358</v>
      </c>
    </row>
    <row r="12861" spans="1:2" x14ac:dyDescent="0.25">
      <c r="A12861" s="1">
        <v>192500</v>
      </c>
      <c r="B12861" s="2" t="s">
        <v>10359</v>
      </c>
    </row>
    <row r="12862" spans="1:2" x14ac:dyDescent="0.25">
      <c r="A12862" s="1">
        <v>193000</v>
      </c>
      <c r="B12862" s="2" t="s">
        <v>10360</v>
      </c>
    </row>
    <row r="12863" spans="1:2" x14ac:dyDescent="0.25">
      <c r="A12863" s="1">
        <v>193500</v>
      </c>
      <c r="B12863" s="2" t="s">
        <v>10361</v>
      </c>
    </row>
    <row r="12864" spans="1:2" x14ac:dyDescent="0.25">
      <c r="A12864" s="1">
        <v>194000</v>
      </c>
      <c r="B12864" s="2" t="s">
        <v>10362</v>
      </c>
    </row>
    <row r="12865" spans="1:2" x14ac:dyDescent="0.25">
      <c r="A12865" s="1">
        <v>194500</v>
      </c>
      <c r="B12865" s="2" t="s">
        <v>10363</v>
      </c>
    </row>
    <row r="12866" spans="1:2" x14ac:dyDescent="0.25">
      <c r="A12866" s="1">
        <v>195000</v>
      </c>
      <c r="B12866" s="2" t="s">
        <v>10364</v>
      </c>
    </row>
    <row r="12867" spans="1:2" x14ac:dyDescent="0.25">
      <c r="A12867" s="1">
        <v>195500</v>
      </c>
      <c r="B12867" s="2" t="s">
        <v>10365</v>
      </c>
    </row>
    <row r="12868" spans="1:2" x14ac:dyDescent="0.25">
      <c r="A12868" s="1">
        <v>196000</v>
      </c>
      <c r="B12868" s="2" t="s">
        <v>10366</v>
      </c>
    </row>
    <row r="12869" spans="1:2" x14ac:dyDescent="0.25">
      <c r="A12869" s="1">
        <v>196500</v>
      </c>
      <c r="B12869" s="2" t="s">
        <v>10367</v>
      </c>
    </row>
    <row r="12870" spans="1:2" x14ac:dyDescent="0.25">
      <c r="A12870" s="1">
        <v>197000</v>
      </c>
      <c r="B12870" s="2" t="s">
        <v>10368</v>
      </c>
    </row>
    <row r="12871" spans="1:2" x14ac:dyDescent="0.25">
      <c r="A12871" s="1">
        <v>197500</v>
      </c>
      <c r="B12871" s="2" t="s">
        <v>10369</v>
      </c>
    </row>
    <row r="12872" spans="1:2" x14ac:dyDescent="0.25">
      <c r="A12872" s="1">
        <v>198000</v>
      </c>
      <c r="B12872" s="2" t="s">
        <v>10370</v>
      </c>
    </row>
    <row r="12873" spans="1:2" x14ac:dyDescent="0.25">
      <c r="A12873" s="1">
        <v>198500</v>
      </c>
      <c r="B12873" s="2" t="s">
        <v>10371</v>
      </c>
    </row>
    <row r="12874" spans="1:2" x14ac:dyDescent="0.25">
      <c r="A12874" s="1">
        <v>199000</v>
      </c>
      <c r="B12874" s="2" t="s">
        <v>10372</v>
      </c>
    </row>
    <row r="12875" spans="1:2" x14ac:dyDescent="0.25">
      <c r="A12875" s="1">
        <v>199500</v>
      </c>
      <c r="B12875" s="2" t="s">
        <v>10373</v>
      </c>
    </row>
    <row r="12876" spans="1:2" x14ac:dyDescent="0.25">
      <c r="A12876" s="1">
        <v>200000</v>
      </c>
      <c r="B12876" s="2" t="s">
        <v>10374</v>
      </c>
    </row>
    <row r="12877" spans="1:2" x14ac:dyDescent="0.25">
      <c r="A12877" s="1">
        <v>200500</v>
      </c>
      <c r="B12877" s="2" t="s">
        <v>10375</v>
      </c>
    </row>
    <row r="12878" spans="1:2" x14ac:dyDescent="0.25">
      <c r="A12878" s="1">
        <v>201000</v>
      </c>
      <c r="B12878" s="2" t="s">
        <v>10376</v>
      </c>
    </row>
    <row r="12879" spans="1:2" x14ac:dyDescent="0.25">
      <c r="A12879" s="1">
        <v>201500</v>
      </c>
      <c r="B12879" s="2" t="s">
        <v>10377</v>
      </c>
    </row>
    <row r="12880" spans="1:2" x14ac:dyDescent="0.25">
      <c r="A12880" s="1">
        <v>202000</v>
      </c>
      <c r="B12880" s="2" t="s">
        <v>10378</v>
      </c>
    </row>
    <row r="12881" spans="1:2" x14ac:dyDescent="0.25">
      <c r="A12881" s="1">
        <v>202500</v>
      </c>
      <c r="B12881" s="2" t="s">
        <v>10379</v>
      </c>
    </row>
    <row r="12882" spans="1:2" x14ac:dyDescent="0.25">
      <c r="A12882" s="1">
        <v>203000</v>
      </c>
      <c r="B12882" s="2" t="s">
        <v>10380</v>
      </c>
    </row>
    <row r="12883" spans="1:2" x14ac:dyDescent="0.25">
      <c r="A12883" s="1">
        <v>203500</v>
      </c>
      <c r="B12883" s="2" t="s">
        <v>10381</v>
      </c>
    </row>
    <row r="12884" spans="1:2" x14ac:dyDescent="0.25">
      <c r="A12884" s="1">
        <v>204000</v>
      </c>
      <c r="B12884" s="2" t="s">
        <v>10382</v>
      </c>
    </row>
    <row r="12885" spans="1:2" x14ac:dyDescent="0.25">
      <c r="A12885" s="1">
        <v>204500</v>
      </c>
      <c r="B12885" s="2" t="s">
        <v>10383</v>
      </c>
    </row>
    <row r="12886" spans="1:2" x14ac:dyDescent="0.25">
      <c r="A12886" s="1">
        <v>205000</v>
      </c>
      <c r="B12886" s="2" t="s">
        <v>10384</v>
      </c>
    </row>
    <row r="12887" spans="1:2" x14ac:dyDescent="0.25">
      <c r="A12887" s="1">
        <v>205500</v>
      </c>
      <c r="B12887" s="2" t="s">
        <v>10385</v>
      </c>
    </row>
    <row r="12888" spans="1:2" x14ac:dyDescent="0.25">
      <c r="A12888" s="1">
        <v>206000</v>
      </c>
      <c r="B12888" s="2" t="s">
        <v>10386</v>
      </c>
    </row>
    <row r="12889" spans="1:2" x14ac:dyDescent="0.25">
      <c r="A12889" s="1">
        <v>206500</v>
      </c>
      <c r="B12889" s="2" t="s">
        <v>10387</v>
      </c>
    </row>
    <row r="12890" spans="1:2" x14ac:dyDescent="0.25">
      <c r="A12890" s="1">
        <v>207000</v>
      </c>
      <c r="B12890" s="2" t="s">
        <v>10388</v>
      </c>
    </row>
    <row r="12891" spans="1:2" x14ac:dyDescent="0.25">
      <c r="A12891" s="1">
        <v>207500</v>
      </c>
      <c r="B12891" s="2" t="s">
        <v>10389</v>
      </c>
    </row>
    <row r="12892" spans="1:2" x14ac:dyDescent="0.25">
      <c r="A12892" s="1">
        <v>208000</v>
      </c>
      <c r="B12892" s="2" t="s">
        <v>10390</v>
      </c>
    </row>
    <row r="12893" spans="1:2" x14ac:dyDescent="0.25">
      <c r="A12893" s="1">
        <v>208500</v>
      </c>
      <c r="B12893" s="2" t="s">
        <v>10391</v>
      </c>
    </row>
    <row r="12894" spans="1:2" x14ac:dyDescent="0.25">
      <c r="A12894" s="1">
        <v>209000</v>
      </c>
      <c r="B12894" s="2" t="s">
        <v>10392</v>
      </c>
    </row>
    <row r="12895" spans="1:2" x14ac:dyDescent="0.25">
      <c r="A12895" s="1">
        <v>209500</v>
      </c>
      <c r="B12895" s="2" t="s">
        <v>10393</v>
      </c>
    </row>
    <row r="12896" spans="1:2" x14ac:dyDescent="0.25">
      <c r="A12896" s="1">
        <v>210000</v>
      </c>
      <c r="B12896" s="2" t="s">
        <v>10394</v>
      </c>
    </row>
    <row r="12897" spans="1:2" x14ac:dyDescent="0.25">
      <c r="A12897" s="1">
        <v>210500</v>
      </c>
      <c r="B12897" s="2" t="s">
        <v>10395</v>
      </c>
    </row>
    <row r="12898" spans="1:2" x14ac:dyDescent="0.25">
      <c r="A12898" s="1">
        <v>211000</v>
      </c>
      <c r="B12898" s="2" t="s">
        <v>10396</v>
      </c>
    </row>
    <row r="12899" spans="1:2" x14ac:dyDescent="0.25">
      <c r="A12899" s="1">
        <v>211500</v>
      </c>
      <c r="B12899" s="2" t="s">
        <v>10397</v>
      </c>
    </row>
    <row r="12900" spans="1:2" x14ac:dyDescent="0.25">
      <c r="A12900" s="1">
        <v>212000</v>
      </c>
      <c r="B12900" s="2" t="s">
        <v>10398</v>
      </c>
    </row>
    <row r="12901" spans="1:2" x14ac:dyDescent="0.25">
      <c r="A12901" s="1">
        <v>212500</v>
      </c>
      <c r="B12901" s="2" t="s">
        <v>10399</v>
      </c>
    </row>
    <row r="12902" spans="1:2" x14ac:dyDescent="0.25">
      <c r="A12902" s="1">
        <v>213000</v>
      </c>
      <c r="B12902" s="2" t="s">
        <v>10400</v>
      </c>
    </row>
    <row r="12903" spans="1:2" x14ac:dyDescent="0.25">
      <c r="A12903" s="1">
        <v>213500</v>
      </c>
      <c r="B12903" s="2" t="s">
        <v>10401</v>
      </c>
    </row>
    <row r="12904" spans="1:2" x14ac:dyDescent="0.25">
      <c r="A12904" s="1">
        <v>214000</v>
      </c>
      <c r="B12904" s="2" t="s">
        <v>10402</v>
      </c>
    </row>
    <row r="12905" spans="1:2" x14ac:dyDescent="0.25">
      <c r="A12905" s="1">
        <v>214500</v>
      </c>
      <c r="B12905" s="2" t="s">
        <v>10403</v>
      </c>
    </row>
    <row r="12906" spans="1:2" x14ac:dyDescent="0.25">
      <c r="A12906" s="1">
        <v>215000</v>
      </c>
      <c r="B12906" s="2" t="s">
        <v>10404</v>
      </c>
    </row>
    <row r="12907" spans="1:2" x14ac:dyDescent="0.25">
      <c r="A12907" s="1">
        <v>215500</v>
      </c>
      <c r="B12907" s="2" t="s">
        <v>10405</v>
      </c>
    </row>
    <row r="12908" spans="1:2" x14ac:dyDescent="0.25">
      <c r="A12908" s="1">
        <v>216000</v>
      </c>
      <c r="B12908" s="2" t="s">
        <v>10406</v>
      </c>
    </row>
    <row r="12909" spans="1:2" x14ac:dyDescent="0.25">
      <c r="A12909" s="1">
        <v>216500</v>
      </c>
      <c r="B12909" s="2" t="s">
        <v>10407</v>
      </c>
    </row>
    <row r="12910" spans="1:2" x14ac:dyDescent="0.25">
      <c r="A12910" s="1">
        <v>217000</v>
      </c>
      <c r="B12910" s="2" t="s">
        <v>10408</v>
      </c>
    </row>
    <row r="12911" spans="1:2" x14ac:dyDescent="0.25">
      <c r="A12911" s="1">
        <v>217500</v>
      </c>
      <c r="B12911" s="2" t="s">
        <v>10409</v>
      </c>
    </row>
    <row r="12912" spans="1:2" x14ac:dyDescent="0.25">
      <c r="A12912" s="1">
        <v>218000</v>
      </c>
      <c r="B12912" s="2" t="s">
        <v>10410</v>
      </c>
    </row>
    <row r="12913" spans="1:2" x14ac:dyDescent="0.25">
      <c r="A12913" s="1">
        <v>218500</v>
      </c>
      <c r="B12913" s="2" t="s">
        <v>10411</v>
      </c>
    </row>
    <row r="12914" spans="1:2" x14ac:dyDescent="0.25">
      <c r="A12914" s="1">
        <v>219000</v>
      </c>
      <c r="B12914" s="2" t="s">
        <v>10412</v>
      </c>
    </row>
    <row r="12915" spans="1:2" x14ac:dyDescent="0.25">
      <c r="A12915" s="1">
        <v>219500</v>
      </c>
      <c r="B12915" s="2" t="s">
        <v>10413</v>
      </c>
    </row>
    <row r="12916" spans="1:2" x14ac:dyDescent="0.25">
      <c r="A12916" s="1">
        <v>220000</v>
      </c>
      <c r="B12916" s="2" t="s">
        <v>10414</v>
      </c>
    </row>
    <row r="12917" spans="1:2" x14ac:dyDescent="0.25">
      <c r="A12917" s="1">
        <v>220500</v>
      </c>
      <c r="B12917" s="2" t="s">
        <v>10415</v>
      </c>
    </row>
    <row r="12918" spans="1:2" x14ac:dyDescent="0.25">
      <c r="A12918" s="1">
        <v>221000</v>
      </c>
      <c r="B12918" s="2" t="s">
        <v>10416</v>
      </c>
    </row>
    <row r="12919" spans="1:2" x14ac:dyDescent="0.25">
      <c r="A12919" s="1">
        <v>221500</v>
      </c>
      <c r="B12919" s="2" t="s">
        <v>10417</v>
      </c>
    </row>
    <row r="12920" spans="1:2" x14ac:dyDescent="0.25">
      <c r="A12920" s="1">
        <v>222000</v>
      </c>
      <c r="B12920" s="2" t="s">
        <v>10418</v>
      </c>
    </row>
    <row r="12921" spans="1:2" x14ac:dyDescent="0.25">
      <c r="A12921" s="1">
        <v>222500</v>
      </c>
      <c r="B12921" s="2" t="s">
        <v>10419</v>
      </c>
    </row>
    <row r="12922" spans="1:2" x14ac:dyDescent="0.25">
      <c r="A12922" s="1">
        <v>223000</v>
      </c>
      <c r="B12922" s="2" t="s">
        <v>10420</v>
      </c>
    </row>
    <row r="12923" spans="1:2" x14ac:dyDescent="0.25">
      <c r="A12923" s="1">
        <v>223500</v>
      </c>
      <c r="B12923" s="2" t="s">
        <v>10421</v>
      </c>
    </row>
    <row r="12924" spans="1:2" x14ac:dyDescent="0.25">
      <c r="A12924" s="1">
        <v>224000</v>
      </c>
      <c r="B12924" s="2" t="s">
        <v>10422</v>
      </c>
    </row>
    <row r="12925" spans="1:2" x14ac:dyDescent="0.25">
      <c r="A12925" s="1">
        <v>224500</v>
      </c>
      <c r="B12925" s="2" t="s">
        <v>10423</v>
      </c>
    </row>
    <row r="12926" spans="1:2" x14ac:dyDescent="0.25">
      <c r="A12926" s="1">
        <v>225000</v>
      </c>
      <c r="B12926" s="2" t="s">
        <v>10424</v>
      </c>
    </row>
    <row r="12927" spans="1:2" x14ac:dyDescent="0.25">
      <c r="A12927" s="1">
        <v>225500</v>
      </c>
      <c r="B12927" s="2" t="s">
        <v>10425</v>
      </c>
    </row>
    <row r="12928" spans="1:2" x14ac:dyDescent="0.25">
      <c r="A12928" s="1">
        <v>226000</v>
      </c>
      <c r="B12928" s="2" t="s">
        <v>10426</v>
      </c>
    </row>
    <row r="12929" spans="1:2" x14ac:dyDescent="0.25">
      <c r="A12929" s="1">
        <v>226500</v>
      </c>
      <c r="B12929" s="2" t="s">
        <v>10427</v>
      </c>
    </row>
    <row r="12930" spans="1:2" x14ac:dyDescent="0.25">
      <c r="A12930" s="1">
        <v>227000</v>
      </c>
      <c r="B12930" s="2" t="s">
        <v>10428</v>
      </c>
    </row>
    <row r="12931" spans="1:2" x14ac:dyDescent="0.25">
      <c r="A12931" s="1">
        <v>227500</v>
      </c>
      <c r="B12931" s="2" t="s">
        <v>10429</v>
      </c>
    </row>
    <row r="12932" spans="1:2" x14ac:dyDescent="0.25">
      <c r="A12932" s="1">
        <v>228000</v>
      </c>
      <c r="B12932" s="2" t="s">
        <v>10430</v>
      </c>
    </row>
    <row r="12933" spans="1:2" x14ac:dyDescent="0.25">
      <c r="A12933" s="1">
        <v>228500</v>
      </c>
      <c r="B12933" s="2" t="s">
        <v>10431</v>
      </c>
    </row>
    <row r="12934" spans="1:2" x14ac:dyDescent="0.25">
      <c r="A12934" s="1">
        <v>229000</v>
      </c>
      <c r="B12934" s="2" t="s">
        <v>10432</v>
      </c>
    </row>
    <row r="12935" spans="1:2" x14ac:dyDescent="0.25">
      <c r="A12935" s="1">
        <v>229500</v>
      </c>
      <c r="B12935" s="2" t="s">
        <v>10433</v>
      </c>
    </row>
    <row r="12936" spans="1:2" x14ac:dyDescent="0.25">
      <c r="A12936" s="1">
        <v>230000</v>
      </c>
      <c r="B12936" s="2" t="s">
        <v>10434</v>
      </c>
    </row>
    <row r="12937" spans="1:2" x14ac:dyDescent="0.25">
      <c r="A12937" s="1">
        <v>230500</v>
      </c>
      <c r="B12937" s="2" t="s">
        <v>10435</v>
      </c>
    </row>
    <row r="12938" spans="1:2" x14ac:dyDescent="0.25">
      <c r="A12938" s="1">
        <v>231000</v>
      </c>
      <c r="B12938" s="2" t="s">
        <v>10436</v>
      </c>
    </row>
    <row r="12939" spans="1:2" x14ac:dyDescent="0.25">
      <c r="A12939" s="1">
        <v>231500</v>
      </c>
      <c r="B12939" s="2" t="s">
        <v>10437</v>
      </c>
    </row>
    <row r="12940" spans="1:2" x14ac:dyDescent="0.25">
      <c r="A12940" s="1">
        <v>232000</v>
      </c>
      <c r="B12940" s="2" t="s">
        <v>10438</v>
      </c>
    </row>
    <row r="12941" spans="1:2" x14ac:dyDescent="0.25">
      <c r="A12941" s="1">
        <v>232500</v>
      </c>
      <c r="B12941" s="2" t="s">
        <v>10439</v>
      </c>
    </row>
    <row r="12942" spans="1:2" x14ac:dyDescent="0.25">
      <c r="A12942" s="1">
        <v>233000</v>
      </c>
      <c r="B12942" s="2" t="s">
        <v>10440</v>
      </c>
    </row>
    <row r="12943" spans="1:2" x14ac:dyDescent="0.25">
      <c r="A12943" s="1">
        <v>233500</v>
      </c>
      <c r="B12943" s="2" t="s">
        <v>10441</v>
      </c>
    </row>
    <row r="12944" spans="1:2" x14ac:dyDescent="0.25">
      <c r="A12944" s="1">
        <v>234000</v>
      </c>
      <c r="B12944" s="2" t="s">
        <v>10442</v>
      </c>
    </row>
    <row r="12945" spans="1:2" x14ac:dyDescent="0.25">
      <c r="A12945" s="1">
        <v>234500</v>
      </c>
      <c r="B12945" s="2" t="s">
        <v>10443</v>
      </c>
    </row>
    <row r="12946" spans="1:2" x14ac:dyDescent="0.25">
      <c r="A12946" s="1">
        <v>235000</v>
      </c>
      <c r="B12946" s="2" t="s">
        <v>10444</v>
      </c>
    </row>
    <row r="12947" spans="1:2" x14ac:dyDescent="0.25">
      <c r="A12947" s="1">
        <v>235500</v>
      </c>
      <c r="B12947" s="2" t="s">
        <v>10445</v>
      </c>
    </row>
    <row r="12948" spans="1:2" x14ac:dyDescent="0.25">
      <c r="A12948" s="1">
        <v>236000</v>
      </c>
      <c r="B12948" s="2" t="s">
        <v>10446</v>
      </c>
    </row>
    <row r="12949" spans="1:2" x14ac:dyDescent="0.25">
      <c r="A12949" s="1">
        <v>236500</v>
      </c>
      <c r="B12949" s="2" t="s">
        <v>10447</v>
      </c>
    </row>
    <row r="12950" spans="1:2" x14ac:dyDescent="0.25">
      <c r="A12950" s="1">
        <v>237000</v>
      </c>
      <c r="B12950" s="2" t="s">
        <v>10448</v>
      </c>
    </row>
    <row r="12951" spans="1:2" x14ac:dyDescent="0.25">
      <c r="A12951" s="1">
        <v>237500</v>
      </c>
      <c r="B12951" s="2" t="s">
        <v>10449</v>
      </c>
    </row>
    <row r="12952" spans="1:2" x14ac:dyDescent="0.25">
      <c r="A12952" s="1">
        <v>238000</v>
      </c>
      <c r="B12952" s="2" t="s">
        <v>10450</v>
      </c>
    </row>
    <row r="12953" spans="1:2" x14ac:dyDescent="0.25">
      <c r="A12953" s="1">
        <v>238500</v>
      </c>
      <c r="B12953" s="2" t="s">
        <v>10451</v>
      </c>
    </row>
    <row r="12954" spans="1:2" x14ac:dyDescent="0.25">
      <c r="A12954" s="1">
        <v>239000</v>
      </c>
      <c r="B12954" s="2" t="s">
        <v>10452</v>
      </c>
    </row>
    <row r="12955" spans="1:2" x14ac:dyDescent="0.25">
      <c r="A12955" s="1">
        <v>239500</v>
      </c>
      <c r="B12955" s="2" t="s">
        <v>10453</v>
      </c>
    </row>
    <row r="12956" spans="1:2" x14ac:dyDescent="0.25">
      <c r="A12956" s="1">
        <v>240000</v>
      </c>
      <c r="B12956" s="2" t="s">
        <v>10454</v>
      </c>
    </row>
    <row r="12957" spans="1:2" x14ac:dyDescent="0.25">
      <c r="A12957" s="1">
        <v>240500</v>
      </c>
      <c r="B12957" s="2" t="s">
        <v>10455</v>
      </c>
    </row>
    <row r="12958" spans="1:2" x14ac:dyDescent="0.25">
      <c r="A12958" s="1">
        <v>241000</v>
      </c>
      <c r="B12958" s="2" t="s">
        <v>10456</v>
      </c>
    </row>
    <row r="12959" spans="1:2" x14ac:dyDescent="0.25">
      <c r="A12959" s="1">
        <v>241500</v>
      </c>
      <c r="B12959" s="2" t="s">
        <v>10457</v>
      </c>
    </row>
    <row r="12960" spans="1:2" x14ac:dyDescent="0.25">
      <c r="A12960" s="1">
        <v>242000</v>
      </c>
      <c r="B12960" s="2" t="s">
        <v>10458</v>
      </c>
    </row>
    <row r="12961" spans="1:2" x14ac:dyDescent="0.25">
      <c r="A12961" s="1">
        <v>242500</v>
      </c>
      <c r="B12961" s="2" t="s">
        <v>10459</v>
      </c>
    </row>
    <row r="12962" spans="1:2" x14ac:dyDescent="0.25">
      <c r="A12962" s="1">
        <v>243000</v>
      </c>
      <c r="B12962" s="2" t="s">
        <v>10460</v>
      </c>
    </row>
    <row r="12963" spans="1:2" x14ac:dyDescent="0.25">
      <c r="A12963" s="1">
        <v>243500</v>
      </c>
      <c r="B12963" s="2" t="s">
        <v>10461</v>
      </c>
    </row>
    <row r="12964" spans="1:2" x14ac:dyDescent="0.25">
      <c r="A12964" s="1">
        <v>244000</v>
      </c>
      <c r="B12964" s="2" t="s">
        <v>10462</v>
      </c>
    </row>
    <row r="12965" spans="1:2" x14ac:dyDescent="0.25">
      <c r="A12965" s="1">
        <v>244500</v>
      </c>
      <c r="B12965" s="2" t="s">
        <v>10463</v>
      </c>
    </row>
    <row r="12966" spans="1:2" x14ac:dyDescent="0.25">
      <c r="A12966" s="1">
        <v>245000</v>
      </c>
      <c r="B12966" s="2" t="s">
        <v>10464</v>
      </c>
    </row>
    <row r="12967" spans="1:2" x14ac:dyDescent="0.25">
      <c r="A12967" s="1">
        <v>245500</v>
      </c>
      <c r="B12967" s="2" t="s">
        <v>10465</v>
      </c>
    </row>
    <row r="12968" spans="1:2" x14ac:dyDescent="0.25">
      <c r="A12968" s="1">
        <v>246000</v>
      </c>
      <c r="B12968" s="2" t="s">
        <v>10466</v>
      </c>
    </row>
    <row r="12969" spans="1:2" x14ac:dyDescent="0.25">
      <c r="A12969" s="1">
        <v>246500</v>
      </c>
      <c r="B12969" s="2" t="s">
        <v>10467</v>
      </c>
    </row>
    <row r="12970" spans="1:2" x14ac:dyDescent="0.25">
      <c r="A12970" s="1">
        <v>247000</v>
      </c>
      <c r="B12970" s="2" t="s">
        <v>10468</v>
      </c>
    </row>
    <row r="12971" spans="1:2" x14ac:dyDescent="0.25">
      <c r="A12971" s="1">
        <v>247500</v>
      </c>
      <c r="B12971" s="2" t="s">
        <v>10469</v>
      </c>
    </row>
    <row r="12972" spans="1:2" x14ac:dyDescent="0.25">
      <c r="A12972" s="1">
        <v>248000</v>
      </c>
      <c r="B12972" s="2" t="s">
        <v>10470</v>
      </c>
    </row>
    <row r="12973" spans="1:2" x14ac:dyDescent="0.25">
      <c r="A12973" s="1">
        <v>248500</v>
      </c>
      <c r="B12973" s="2" t="s">
        <v>10471</v>
      </c>
    </row>
    <row r="12974" spans="1:2" x14ac:dyDescent="0.25">
      <c r="A12974" s="1">
        <v>249000</v>
      </c>
      <c r="B12974" s="2" t="s">
        <v>10472</v>
      </c>
    </row>
    <row r="12975" spans="1:2" x14ac:dyDescent="0.25">
      <c r="A12975" s="1">
        <v>249500</v>
      </c>
      <c r="B12975" s="2" t="s">
        <v>10473</v>
      </c>
    </row>
    <row r="12976" spans="1:2" x14ac:dyDescent="0.25">
      <c r="A12976" s="1">
        <v>250000</v>
      </c>
      <c r="B12976" s="2" t="s">
        <v>10474</v>
      </c>
    </row>
    <row r="12977" spans="1:2" x14ac:dyDescent="0.25">
      <c r="A12977" s="1">
        <v>250500</v>
      </c>
      <c r="B12977" s="2" t="s">
        <v>10475</v>
      </c>
    </row>
    <row r="12978" spans="1:2" x14ac:dyDescent="0.25">
      <c r="A12978" s="1">
        <v>251000</v>
      </c>
      <c r="B12978" s="2" t="s">
        <v>10476</v>
      </c>
    </row>
    <row r="12979" spans="1:2" x14ac:dyDescent="0.25">
      <c r="A12979" s="1">
        <v>251500</v>
      </c>
      <c r="B12979" s="2" t="s">
        <v>10477</v>
      </c>
    </row>
    <row r="12980" spans="1:2" x14ac:dyDescent="0.25">
      <c r="A12980" s="1">
        <v>252000</v>
      </c>
      <c r="B12980" s="2" t="s">
        <v>10478</v>
      </c>
    </row>
    <row r="12981" spans="1:2" x14ac:dyDescent="0.25">
      <c r="A12981" s="1">
        <v>252500</v>
      </c>
      <c r="B12981" s="2" t="s">
        <v>10479</v>
      </c>
    </row>
    <row r="12982" spans="1:2" x14ac:dyDescent="0.25">
      <c r="A12982" s="1">
        <v>253000</v>
      </c>
      <c r="B12982" s="2" t="s">
        <v>10480</v>
      </c>
    </row>
    <row r="12983" spans="1:2" x14ac:dyDescent="0.25">
      <c r="A12983" s="1">
        <v>253500</v>
      </c>
      <c r="B12983" s="2" t="s">
        <v>10481</v>
      </c>
    </row>
    <row r="12984" spans="1:2" x14ac:dyDescent="0.25">
      <c r="A12984" s="1">
        <v>254000</v>
      </c>
      <c r="B12984" s="2" t="s">
        <v>10482</v>
      </c>
    </row>
    <row r="12985" spans="1:2" x14ac:dyDescent="0.25">
      <c r="A12985" s="1">
        <v>254500</v>
      </c>
      <c r="B12985" s="2" t="s">
        <v>10483</v>
      </c>
    </row>
    <row r="12986" spans="1:2" x14ac:dyDescent="0.25">
      <c r="A12986" s="1">
        <v>255000</v>
      </c>
      <c r="B12986" s="2" t="s">
        <v>10484</v>
      </c>
    </row>
    <row r="12987" spans="1:2" x14ac:dyDescent="0.25">
      <c r="A12987" s="1">
        <v>255500</v>
      </c>
      <c r="B12987" s="2" t="s">
        <v>10485</v>
      </c>
    </row>
    <row r="12988" spans="1:2" x14ac:dyDescent="0.25">
      <c r="A12988" s="1">
        <v>256000</v>
      </c>
      <c r="B12988" s="2" t="s">
        <v>10486</v>
      </c>
    </row>
    <row r="12989" spans="1:2" x14ac:dyDescent="0.25">
      <c r="A12989" s="1">
        <v>256500</v>
      </c>
      <c r="B12989" s="2" t="s">
        <v>10487</v>
      </c>
    </row>
    <row r="12990" spans="1:2" x14ac:dyDescent="0.25">
      <c r="A12990" s="1">
        <v>257000</v>
      </c>
      <c r="B12990" s="2" t="s">
        <v>10488</v>
      </c>
    </row>
    <row r="12991" spans="1:2" x14ac:dyDescent="0.25">
      <c r="A12991" s="1">
        <v>257500</v>
      </c>
      <c r="B12991" s="2" t="s">
        <v>10489</v>
      </c>
    </row>
    <row r="12992" spans="1:2" x14ac:dyDescent="0.25">
      <c r="A12992" s="1">
        <v>258000</v>
      </c>
      <c r="B12992" s="2" t="s">
        <v>10490</v>
      </c>
    </row>
    <row r="12993" spans="1:2" x14ac:dyDescent="0.25">
      <c r="A12993" s="1">
        <v>258500</v>
      </c>
      <c r="B12993" s="2" t="s">
        <v>10491</v>
      </c>
    </row>
    <row r="12994" spans="1:2" x14ac:dyDescent="0.25">
      <c r="A12994" s="1">
        <v>259000</v>
      </c>
      <c r="B12994" s="2" t="s">
        <v>10492</v>
      </c>
    </row>
    <row r="12995" spans="1:2" x14ac:dyDescent="0.25">
      <c r="A12995" s="1">
        <v>259500</v>
      </c>
      <c r="B12995" s="2" t="s">
        <v>10493</v>
      </c>
    </row>
    <row r="12996" spans="1:2" x14ac:dyDescent="0.25">
      <c r="A12996" s="1">
        <v>260000</v>
      </c>
      <c r="B12996" s="2" t="s">
        <v>10494</v>
      </c>
    </row>
    <row r="12997" spans="1:2" x14ac:dyDescent="0.25">
      <c r="A12997" s="1">
        <v>260500</v>
      </c>
      <c r="B12997" s="2" t="s">
        <v>10495</v>
      </c>
    </row>
    <row r="12998" spans="1:2" x14ac:dyDescent="0.25">
      <c r="A12998" s="1">
        <v>261000</v>
      </c>
      <c r="B12998" s="2" t="s">
        <v>10496</v>
      </c>
    </row>
    <row r="12999" spans="1:2" x14ac:dyDescent="0.25">
      <c r="A12999" s="1">
        <v>261500</v>
      </c>
      <c r="B12999" s="2" t="s">
        <v>10497</v>
      </c>
    </row>
    <row r="13000" spans="1:2" x14ac:dyDescent="0.25">
      <c r="A13000" s="1">
        <v>262000</v>
      </c>
      <c r="B13000" s="2" t="s">
        <v>10498</v>
      </c>
    </row>
    <row r="13001" spans="1:2" x14ac:dyDescent="0.25">
      <c r="A13001" s="1">
        <v>262500</v>
      </c>
      <c r="B13001" s="2" t="s">
        <v>10499</v>
      </c>
    </row>
    <row r="13002" spans="1:2" x14ac:dyDescent="0.25">
      <c r="A13002" s="1">
        <v>263000</v>
      </c>
      <c r="B13002" s="2" t="s">
        <v>10500</v>
      </c>
    </row>
    <row r="13003" spans="1:2" x14ac:dyDescent="0.25">
      <c r="A13003" s="1">
        <v>263500</v>
      </c>
      <c r="B13003" s="2" t="s">
        <v>10501</v>
      </c>
    </row>
    <row r="13004" spans="1:2" x14ac:dyDescent="0.25">
      <c r="A13004" s="1">
        <v>264000</v>
      </c>
      <c r="B13004" s="2" t="s">
        <v>10502</v>
      </c>
    </row>
    <row r="13005" spans="1:2" x14ac:dyDescent="0.25">
      <c r="A13005" s="1">
        <v>264500</v>
      </c>
      <c r="B13005" s="2" t="s">
        <v>10503</v>
      </c>
    </row>
    <row r="13006" spans="1:2" x14ac:dyDescent="0.25">
      <c r="A13006" s="1">
        <v>265000</v>
      </c>
      <c r="B13006" s="2" t="s">
        <v>10504</v>
      </c>
    </row>
    <row r="13007" spans="1:2" x14ac:dyDescent="0.25">
      <c r="A13007" s="1">
        <v>265500</v>
      </c>
      <c r="B13007" s="2" t="s">
        <v>10505</v>
      </c>
    </row>
    <row r="13008" spans="1:2" x14ac:dyDescent="0.25">
      <c r="A13008" s="1">
        <v>266000</v>
      </c>
      <c r="B13008" s="2" t="s">
        <v>10506</v>
      </c>
    </row>
    <row r="13009" spans="1:2" x14ac:dyDescent="0.25">
      <c r="A13009" s="1">
        <v>266500</v>
      </c>
      <c r="B13009" s="2" t="s">
        <v>10507</v>
      </c>
    </row>
    <row r="13010" spans="1:2" x14ac:dyDescent="0.25">
      <c r="A13010" s="1">
        <v>267000</v>
      </c>
      <c r="B13010" s="2" t="s">
        <v>10508</v>
      </c>
    </row>
    <row r="13011" spans="1:2" x14ac:dyDescent="0.25">
      <c r="A13011" s="1">
        <v>267500</v>
      </c>
      <c r="B13011" s="2" t="s">
        <v>10509</v>
      </c>
    </row>
    <row r="13012" spans="1:2" x14ac:dyDescent="0.25">
      <c r="A13012" s="1">
        <v>268000</v>
      </c>
      <c r="B13012" s="2" t="s">
        <v>10510</v>
      </c>
    </row>
    <row r="13013" spans="1:2" x14ac:dyDescent="0.25">
      <c r="A13013" s="1">
        <v>268500</v>
      </c>
      <c r="B13013" s="2" t="s">
        <v>10511</v>
      </c>
    </row>
    <row r="13014" spans="1:2" x14ac:dyDescent="0.25">
      <c r="A13014" s="1">
        <v>269000</v>
      </c>
      <c r="B13014" s="2" t="s">
        <v>10512</v>
      </c>
    </row>
    <row r="13015" spans="1:2" x14ac:dyDescent="0.25">
      <c r="A13015" s="1">
        <v>269500</v>
      </c>
      <c r="B13015" s="2" t="s">
        <v>10513</v>
      </c>
    </row>
    <row r="13016" spans="1:2" x14ac:dyDescent="0.25">
      <c r="A13016" s="1">
        <v>270000</v>
      </c>
      <c r="B13016" s="2" t="s">
        <v>10514</v>
      </c>
    </row>
    <row r="13017" spans="1:2" x14ac:dyDescent="0.25">
      <c r="A13017" s="1">
        <v>270500</v>
      </c>
      <c r="B13017" s="2" t="s">
        <v>10515</v>
      </c>
    </row>
    <row r="13018" spans="1:2" x14ac:dyDescent="0.25">
      <c r="A13018" s="1">
        <v>271000</v>
      </c>
      <c r="B13018" s="2" t="s">
        <v>10516</v>
      </c>
    </row>
    <row r="13019" spans="1:2" x14ac:dyDescent="0.25">
      <c r="A13019" s="1">
        <v>271500</v>
      </c>
      <c r="B13019" s="2" t="s">
        <v>10517</v>
      </c>
    </row>
    <row r="13020" spans="1:2" x14ac:dyDescent="0.25">
      <c r="A13020" s="1">
        <v>272000</v>
      </c>
      <c r="B13020" s="2" t="s">
        <v>10518</v>
      </c>
    </row>
    <row r="13021" spans="1:2" x14ac:dyDescent="0.25">
      <c r="A13021" s="1">
        <v>272500</v>
      </c>
      <c r="B13021" s="2" t="s">
        <v>10519</v>
      </c>
    </row>
    <row r="13022" spans="1:2" x14ac:dyDescent="0.25">
      <c r="A13022" s="1">
        <v>273000</v>
      </c>
      <c r="B13022" s="2" t="s">
        <v>10520</v>
      </c>
    </row>
    <row r="13023" spans="1:2" x14ac:dyDescent="0.25">
      <c r="A13023" s="1">
        <v>273500</v>
      </c>
      <c r="B13023" s="2" t="s">
        <v>10521</v>
      </c>
    </row>
    <row r="13024" spans="1:2" x14ac:dyDescent="0.25">
      <c r="A13024" s="1">
        <v>274000</v>
      </c>
      <c r="B13024" s="2" t="s">
        <v>10522</v>
      </c>
    </row>
    <row r="13025" spans="1:2" x14ac:dyDescent="0.25">
      <c r="A13025" s="1">
        <v>274500</v>
      </c>
      <c r="B13025" s="2" t="s">
        <v>10523</v>
      </c>
    </row>
    <row r="13026" spans="1:2" x14ac:dyDescent="0.25">
      <c r="A13026" s="1">
        <v>275000</v>
      </c>
      <c r="B13026" s="2" t="s">
        <v>10524</v>
      </c>
    </row>
    <row r="13027" spans="1:2" x14ac:dyDescent="0.25">
      <c r="A13027" s="1">
        <v>275500</v>
      </c>
      <c r="B13027" s="2" t="s">
        <v>10525</v>
      </c>
    </row>
    <row r="13028" spans="1:2" x14ac:dyDescent="0.25">
      <c r="A13028" s="1">
        <v>276000</v>
      </c>
      <c r="B13028" s="2" t="s">
        <v>10526</v>
      </c>
    </row>
    <row r="13029" spans="1:2" x14ac:dyDescent="0.25">
      <c r="A13029" s="1">
        <v>276500</v>
      </c>
      <c r="B13029" s="2" t="s">
        <v>10527</v>
      </c>
    </row>
    <row r="13030" spans="1:2" x14ac:dyDescent="0.25">
      <c r="A13030" s="1">
        <v>277000</v>
      </c>
      <c r="B13030" s="2" t="s">
        <v>10528</v>
      </c>
    </row>
    <row r="13031" spans="1:2" x14ac:dyDescent="0.25">
      <c r="A13031" s="1">
        <v>277500</v>
      </c>
      <c r="B13031" s="2" t="s">
        <v>10529</v>
      </c>
    </row>
    <row r="13032" spans="1:2" x14ac:dyDescent="0.25">
      <c r="A13032" s="1">
        <v>278000</v>
      </c>
      <c r="B13032" s="2" t="s">
        <v>10530</v>
      </c>
    </row>
    <row r="13033" spans="1:2" x14ac:dyDescent="0.25">
      <c r="A13033" s="1">
        <v>278500</v>
      </c>
      <c r="B13033" s="2" t="s">
        <v>10531</v>
      </c>
    </row>
    <row r="13034" spans="1:2" x14ac:dyDescent="0.25">
      <c r="A13034" s="1">
        <v>279000</v>
      </c>
      <c r="B13034" s="2" t="s">
        <v>10532</v>
      </c>
    </row>
    <row r="13035" spans="1:2" x14ac:dyDescent="0.25">
      <c r="A13035" s="1">
        <v>279500</v>
      </c>
      <c r="B13035" s="2" t="s">
        <v>10533</v>
      </c>
    </row>
    <row r="13036" spans="1:2" x14ac:dyDescent="0.25">
      <c r="A13036" s="1">
        <v>280000</v>
      </c>
      <c r="B13036" s="2" t="s">
        <v>10534</v>
      </c>
    </row>
    <row r="13037" spans="1:2" x14ac:dyDescent="0.25">
      <c r="A13037" s="1">
        <v>280500</v>
      </c>
      <c r="B13037" s="2" t="s">
        <v>10535</v>
      </c>
    </row>
    <row r="13038" spans="1:2" x14ac:dyDescent="0.25">
      <c r="A13038" s="1">
        <v>281000</v>
      </c>
      <c r="B13038" s="2" t="s">
        <v>10536</v>
      </c>
    </row>
    <row r="13039" spans="1:2" x14ac:dyDescent="0.25">
      <c r="A13039" s="1">
        <v>281500</v>
      </c>
      <c r="B13039" s="2" t="s">
        <v>10537</v>
      </c>
    </row>
    <row r="13040" spans="1:2" x14ac:dyDescent="0.25">
      <c r="A13040" s="1">
        <v>282000</v>
      </c>
      <c r="B13040" s="2" t="s">
        <v>10538</v>
      </c>
    </row>
    <row r="13041" spans="1:2" x14ac:dyDescent="0.25">
      <c r="A13041" s="1">
        <v>282500</v>
      </c>
      <c r="B13041" s="2" t="s">
        <v>10539</v>
      </c>
    </row>
    <row r="13042" spans="1:2" x14ac:dyDescent="0.25">
      <c r="A13042" s="1">
        <v>283000</v>
      </c>
      <c r="B13042" s="2" t="s">
        <v>10540</v>
      </c>
    </row>
    <row r="13043" spans="1:2" x14ac:dyDescent="0.25">
      <c r="A13043" s="1">
        <v>283500</v>
      </c>
      <c r="B13043" s="2" t="s">
        <v>10541</v>
      </c>
    </row>
    <row r="13044" spans="1:2" x14ac:dyDescent="0.25">
      <c r="A13044" s="1">
        <v>284000</v>
      </c>
      <c r="B13044" s="2" t="s">
        <v>10542</v>
      </c>
    </row>
    <row r="13045" spans="1:2" x14ac:dyDescent="0.25">
      <c r="A13045" s="1">
        <v>284500</v>
      </c>
      <c r="B13045" s="2" t="s">
        <v>10543</v>
      </c>
    </row>
    <row r="13046" spans="1:2" x14ac:dyDescent="0.25">
      <c r="A13046" s="1">
        <v>285000</v>
      </c>
      <c r="B13046" s="2" t="s">
        <v>10544</v>
      </c>
    </row>
    <row r="13047" spans="1:2" x14ac:dyDescent="0.25">
      <c r="A13047" s="1">
        <v>285500</v>
      </c>
      <c r="B13047" s="2" t="s">
        <v>10545</v>
      </c>
    </row>
    <row r="13048" spans="1:2" x14ac:dyDescent="0.25">
      <c r="A13048" s="1">
        <v>286000</v>
      </c>
      <c r="B13048" s="2" t="s">
        <v>10546</v>
      </c>
    </row>
    <row r="13049" spans="1:2" x14ac:dyDescent="0.25">
      <c r="A13049" s="1">
        <v>286500</v>
      </c>
      <c r="B13049" s="2" t="s">
        <v>10547</v>
      </c>
    </row>
    <row r="13050" spans="1:2" x14ac:dyDescent="0.25">
      <c r="A13050" s="1">
        <v>287000</v>
      </c>
      <c r="B13050" s="2" t="s">
        <v>10548</v>
      </c>
    </row>
    <row r="13051" spans="1:2" x14ac:dyDescent="0.25">
      <c r="A13051" s="1">
        <v>287500</v>
      </c>
      <c r="B13051" s="2" t="s">
        <v>10549</v>
      </c>
    </row>
    <row r="13052" spans="1:2" x14ac:dyDescent="0.25">
      <c r="A13052" s="1">
        <v>288000</v>
      </c>
      <c r="B13052" s="2" t="s">
        <v>10550</v>
      </c>
    </row>
    <row r="13053" spans="1:2" x14ac:dyDescent="0.25">
      <c r="A13053" s="1">
        <v>288500</v>
      </c>
      <c r="B13053" s="2" t="s">
        <v>10551</v>
      </c>
    </row>
    <row r="13054" spans="1:2" x14ac:dyDescent="0.25">
      <c r="A13054" s="1">
        <v>289000</v>
      </c>
      <c r="B13054" s="2" t="s">
        <v>10552</v>
      </c>
    </row>
    <row r="13055" spans="1:2" x14ac:dyDescent="0.25">
      <c r="A13055" s="1">
        <v>289500</v>
      </c>
      <c r="B13055" s="2" t="s">
        <v>10553</v>
      </c>
    </row>
    <row r="13056" spans="1:2" x14ac:dyDescent="0.25">
      <c r="A13056" s="1">
        <v>290000</v>
      </c>
      <c r="B13056" s="2" t="s">
        <v>10554</v>
      </c>
    </row>
    <row r="13057" spans="1:2" x14ac:dyDescent="0.25">
      <c r="A13057" s="1">
        <v>290500</v>
      </c>
      <c r="B13057" s="2" t="s">
        <v>10555</v>
      </c>
    </row>
    <row r="13058" spans="1:2" x14ac:dyDescent="0.25">
      <c r="A13058" s="1">
        <v>291000</v>
      </c>
      <c r="B13058" s="2" t="s">
        <v>10556</v>
      </c>
    </row>
    <row r="13059" spans="1:2" x14ac:dyDescent="0.25">
      <c r="A13059" s="1">
        <v>291500</v>
      </c>
      <c r="B13059" s="2" t="s">
        <v>10557</v>
      </c>
    </row>
    <row r="13060" spans="1:2" x14ac:dyDescent="0.25">
      <c r="A13060" s="1">
        <v>292000</v>
      </c>
      <c r="B13060" s="2" t="s">
        <v>10558</v>
      </c>
    </row>
    <row r="13061" spans="1:2" x14ac:dyDescent="0.25">
      <c r="A13061" s="1">
        <v>292500</v>
      </c>
      <c r="B13061" s="2" t="s">
        <v>10559</v>
      </c>
    </row>
    <row r="13062" spans="1:2" x14ac:dyDescent="0.25">
      <c r="A13062" s="1">
        <v>293000</v>
      </c>
      <c r="B13062" s="2" t="s">
        <v>10560</v>
      </c>
    </row>
    <row r="13063" spans="1:2" x14ac:dyDescent="0.25">
      <c r="A13063" s="1">
        <v>293500</v>
      </c>
      <c r="B13063" s="2" t="s">
        <v>10561</v>
      </c>
    </row>
    <row r="13064" spans="1:2" x14ac:dyDescent="0.25">
      <c r="A13064" s="1">
        <v>294000</v>
      </c>
      <c r="B13064" s="2" t="s">
        <v>10562</v>
      </c>
    </row>
    <row r="13065" spans="1:2" x14ac:dyDescent="0.25">
      <c r="A13065" s="1">
        <v>294500</v>
      </c>
      <c r="B13065" s="2" t="s">
        <v>10563</v>
      </c>
    </row>
    <row r="13066" spans="1:2" x14ac:dyDescent="0.25">
      <c r="A13066" s="1">
        <v>295000</v>
      </c>
      <c r="B13066" s="2" t="s">
        <v>10564</v>
      </c>
    </row>
    <row r="13067" spans="1:2" x14ac:dyDescent="0.25">
      <c r="A13067" s="1">
        <v>295500</v>
      </c>
      <c r="B13067" s="2" t="s">
        <v>10565</v>
      </c>
    </row>
    <row r="13068" spans="1:2" x14ac:dyDescent="0.25">
      <c r="A13068" s="1">
        <v>296000</v>
      </c>
      <c r="B13068" s="2" t="s">
        <v>10566</v>
      </c>
    </row>
    <row r="13069" spans="1:2" x14ac:dyDescent="0.25">
      <c r="A13069" s="1">
        <v>296500</v>
      </c>
      <c r="B13069" s="2" t="s">
        <v>10567</v>
      </c>
    </row>
    <row r="13070" spans="1:2" x14ac:dyDescent="0.25">
      <c r="A13070" s="1">
        <v>297000</v>
      </c>
      <c r="B13070" s="2" t="s">
        <v>10568</v>
      </c>
    </row>
    <row r="13071" spans="1:2" x14ac:dyDescent="0.25">
      <c r="A13071" s="1">
        <v>297500</v>
      </c>
      <c r="B13071" s="2" t="s">
        <v>10569</v>
      </c>
    </row>
    <row r="13072" spans="1:2" x14ac:dyDescent="0.25">
      <c r="A13072" s="1">
        <v>298000</v>
      </c>
      <c r="B13072" s="2" t="s">
        <v>10570</v>
      </c>
    </row>
    <row r="13073" spans="1:2" x14ac:dyDescent="0.25">
      <c r="A13073" s="1">
        <v>298500</v>
      </c>
      <c r="B13073" s="2" t="s">
        <v>10571</v>
      </c>
    </row>
    <row r="13074" spans="1:2" x14ac:dyDescent="0.25">
      <c r="A13074" s="1">
        <v>299000</v>
      </c>
      <c r="B13074" s="2" t="s">
        <v>10572</v>
      </c>
    </row>
    <row r="13075" spans="1:2" x14ac:dyDescent="0.25">
      <c r="A13075" s="1">
        <v>299500</v>
      </c>
      <c r="B13075" s="2" t="s">
        <v>10573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25"/>
  <sheetViews>
    <sheetView rightToLeft="1" tabSelected="1" view="pageBreakPreview" zoomScale="70" zoomScaleNormal="180" zoomScaleSheetLayoutView="70" workbookViewId="0">
      <pane ySplit="7" topLeftCell="A12" activePane="bottomLeft" state="frozen"/>
      <selection pane="bottomLeft" activeCell="E35" sqref="E3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8" customWidth="1"/>
    <col min="4" max="4" width="19.88671875" style="4" customWidth="1"/>
    <col min="5" max="5" width="16.5546875" style="4" customWidth="1"/>
    <col min="6" max="6" width="25" style="4" customWidth="1"/>
    <col min="7" max="7" width="19.88671875" style="4" customWidth="1"/>
    <col min="8" max="16384" width="9.109375" style="4"/>
  </cols>
  <sheetData>
    <row r="1" spans="1:7" x14ac:dyDescent="0.25">
      <c r="A1" s="34" t="s">
        <v>10004</v>
      </c>
      <c r="B1" s="34"/>
      <c r="C1" s="34"/>
      <c r="F1" s="36" t="s">
        <v>10600</v>
      </c>
      <c r="G1" s="34"/>
    </row>
    <row r="2" spans="1:7" x14ac:dyDescent="0.25">
      <c r="A2" s="34" t="s">
        <v>10604</v>
      </c>
      <c r="B2" s="34"/>
      <c r="C2" s="34"/>
    </row>
    <row r="3" spans="1:7" x14ac:dyDescent="0.25">
      <c r="A3" s="36" t="s">
        <v>10599</v>
      </c>
      <c r="B3" s="34"/>
      <c r="C3" s="34"/>
    </row>
    <row r="4" spans="1:7" x14ac:dyDescent="0.25">
      <c r="A4" s="5"/>
    </row>
    <row r="5" spans="1:7" ht="33.75" customHeight="1" x14ac:dyDescent="0.25">
      <c r="A5" s="37" t="s">
        <v>10606</v>
      </c>
      <c r="B5" s="37"/>
      <c r="C5" s="37"/>
      <c r="D5" s="37"/>
      <c r="E5" s="37"/>
      <c r="F5" s="19"/>
      <c r="G5" s="18"/>
    </row>
    <row r="6" spans="1:7" ht="19.5" customHeight="1" x14ac:dyDescent="0.25">
      <c r="A6" s="35" t="s">
        <v>10601</v>
      </c>
      <c r="B6" s="35"/>
      <c r="C6" s="35"/>
      <c r="D6" s="35"/>
      <c r="E6" s="35"/>
      <c r="F6" s="35"/>
      <c r="G6" s="35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6" t="s">
        <v>10008</v>
      </c>
      <c r="E7" s="6" t="s">
        <v>10009</v>
      </c>
      <c r="F7" s="7" t="s">
        <v>10010</v>
      </c>
      <c r="G7" s="6" t="s">
        <v>10011</v>
      </c>
    </row>
    <row r="8" spans="1:7" ht="18" customHeight="1" x14ac:dyDescent="0.25">
      <c r="A8" s="3">
        <v>1</v>
      </c>
      <c r="B8" s="3"/>
      <c r="C8" s="10"/>
      <c r="D8" s="11"/>
      <c r="E8" s="3"/>
      <c r="F8" s="11"/>
      <c r="G8" s="3"/>
    </row>
    <row r="9" spans="1:7" ht="18" customHeight="1" x14ac:dyDescent="0.25">
      <c r="A9" s="3">
        <v>2</v>
      </c>
      <c r="B9" s="3"/>
      <c r="C9" s="10"/>
      <c r="D9" s="11"/>
      <c r="E9" s="3"/>
      <c r="F9" s="11"/>
      <c r="G9" s="3"/>
    </row>
    <row r="10" spans="1:7" ht="18" customHeight="1" x14ac:dyDescent="0.25">
      <c r="A10" s="3">
        <v>3</v>
      </c>
      <c r="B10" s="3"/>
      <c r="C10" s="10"/>
      <c r="D10" s="11"/>
      <c r="E10" s="3"/>
      <c r="F10" s="11"/>
      <c r="G10" s="3"/>
    </row>
    <row r="11" spans="1:7" ht="18" customHeight="1" x14ac:dyDescent="0.25">
      <c r="A11" s="3">
        <v>4</v>
      </c>
      <c r="B11" s="3"/>
      <c r="C11" s="10"/>
      <c r="D11" s="11"/>
      <c r="E11" s="3"/>
      <c r="F11" s="11"/>
      <c r="G11" s="3"/>
    </row>
    <row r="12" spans="1:7" ht="18" customHeight="1" x14ac:dyDescent="0.25">
      <c r="A12" s="3">
        <v>5</v>
      </c>
      <c r="B12" s="3"/>
      <c r="C12" s="10"/>
      <c r="D12" s="11"/>
      <c r="E12" s="3"/>
      <c r="F12" s="11"/>
      <c r="G12" s="3"/>
    </row>
    <row r="13" spans="1:7" ht="18" customHeight="1" x14ac:dyDescent="0.25">
      <c r="A13" s="3">
        <v>6</v>
      </c>
      <c r="B13" s="3"/>
      <c r="C13" s="10"/>
      <c r="D13" s="11"/>
      <c r="E13" s="3"/>
      <c r="F13" s="11"/>
      <c r="G13" s="3"/>
    </row>
    <row r="14" spans="1:7" ht="18" customHeight="1" x14ac:dyDescent="0.25">
      <c r="A14" s="3">
        <v>7</v>
      </c>
      <c r="B14" s="3"/>
      <c r="C14" s="10"/>
      <c r="D14" s="11"/>
      <c r="E14" s="3"/>
      <c r="F14" s="11"/>
      <c r="G14" s="3"/>
    </row>
    <row r="15" spans="1:7" ht="18" customHeight="1" x14ac:dyDescent="0.25">
      <c r="A15" s="3">
        <v>8</v>
      </c>
      <c r="B15" s="3"/>
      <c r="C15" s="10"/>
      <c r="D15" s="11"/>
      <c r="E15" s="3"/>
      <c r="F15" s="11"/>
      <c r="G15" s="3"/>
    </row>
    <row r="16" spans="1:7" ht="18" customHeight="1" x14ac:dyDescent="0.25">
      <c r="A16" s="3">
        <v>9</v>
      </c>
      <c r="B16" s="3"/>
      <c r="C16" s="10"/>
      <c r="D16" s="11"/>
      <c r="E16" s="3"/>
      <c r="F16" s="11"/>
      <c r="G16" s="3"/>
    </row>
    <row r="17" spans="1:7" ht="18" customHeight="1" x14ac:dyDescent="0.25">
      <c r="A17" s="3">
        <v>10</v>
      </c>
      <c r="B17" s="3"/>
      <c r="C17" s="10"/>
      <c r="D17" s="11"/>
      <c r="E17" s="3"/>
      <c r="F17" s="11"/>
      <c r="G17" s="3"/>
    </row>
    <row r="18" spans="1:7" ht="18" customHeight="1" x14ac:dyDescent="0.25">
      <c r="A18" s="3">
        <v>11</v>
      </c>
      <c r="B18" s="3"/>
      <c r="C18" s="10"/>
      <c r="D18" s="11"/>
      <c r="E18" s="3"/>
      <c r="F18" s="11"/>
      <c r="G18" s="3"/>
    </row>
    <row r="19" spans="1:7" ht="18" customHeight="1" x14ac:dyDescent="0.25">
      <c r="A19" s="3">
        <v>12</v>
      </c>
      <c r="B19" s="3"/>
      <c r="C19" s="10"/>
      <c r="D19" s="11"/>
      <c r="E19" s="3"/>
      <c r="F19" s="11"/>
      <c r="G19" s="3"/>
    </row>
    <row r="20" spans="1:7" ht="18" customHeight="1" x14ac:dyDescent="0.25">
      <c r="A20" s="3">
        <v>13</v>
      </c>
      <c r="B20" s="3"/>
      <c r="C20" s="10"/>
      <c r="D20" s="11"/>
      <c r="E20" s="3"/>
      <c r="F20" s="11"/>
      <c r="G20" s="3"/>
    </row>
    <row r="21" spans="1:7" ht="18" customHeight="1" x14ac:dyDescent="0.25">
      <c r="A21" s="3">
        <v>14</v>
      </c>
      <c r="B21" s="3"/>
      <c r="C21" s="10"/>
      <c r="D21" s="11"/>
      <c r="E21" s="3"/>
      <c r="F21" s="11"/>
      <c r="G21" s="3"/>
    </row>
    <row r="22" spans="1:7" ht="18" customHeight="1" x14ac:dyDescent="0.25">
      <c r="A22" s="3">
        <v>15</v>
      </c>
      <c r="B22" s="3"/>
      <c r="C22" s="10"/>
      <c r="D22" s="11"/>
      <c r="E22" s="3"/>
      <c r="F22" s="11"/>
      <c r="G22" s="3"/>
    </row>
    <row r="23" spans="1:7" ht="18" customHeight="1" x14ac:dyDescent="0.25">
      <c r="A23" s="3">
        <v>16</v>
      </c>
      <c r="B23" s="3"/>
      <c r="C23" s="10"/>
      <c r="D23" s="11"/>
      <c r="E23" s="3"/>
      <c r="F23" s="11"/>
      <c r="G23" s="3"/>
    </row>
    <row r="24" spans="1:7" ht="18" customHeight="1" x14ac:dyDescent="0.25">
      <c r="A24" s="3">
        <v>17</v>
      </c>
      <c r="B24" s="3"/>
      <c r="C24" s="10"/>
      <c r="D24" s="11"/>
      <c r="E24" s="3"/>
      <c r="F24" s="11"/>
      <c r="G24" s="3"/>
    </row>
    <row r="25" spans="1:7" ht="18" customHeight="1" x14ac:dyDescent="0.25">
      <c r="A25" s="3">
        <v>18</v>
      </c>
      <c r="B25" s="3"/>
      <c r="C25" s="10"/>
      <c r="D25" s="11"/>
      <c r="E25" s="3"/>
      <c r="F25" s="11"/>
      <c r="G25" s="3"/>
    </row>
    <row r="26" spans="1:7" ht="18" customHeight="1" x14ac:dyDescent="0.25">
      <c r="A26" s="3">
        <v>19</v>
      </c>
      <c r="B26" s="3"/>
      <c r="C26" s="10"/>
      <c r="D26" s="11"/>
      <c r="E26" s="3"/>
      <c r="F26" s="11"/>
      <c r="G26" s="3"/>
    </row>
    <row r="27" spans="1:7" ht="18" customHeight="1" x14ac:dyDescent="0.25">
      <c r="A27" s="3">
        <v>20</v>
      </c>
      <c r="B27" s="3"/>
      <c r="C27" s="10"/>
      <c r="D27" s="11"/>
      <c r="E27" s="3"/>
      <c r="F27" s="11"/>
      <c r="G27" s="3"/>
    </row>
    <row r="28" spans="1:7" ht="18" customHeight="1" x14ac:dyDescent="0.25">
      <c r="A28" s="3">
        <v>21</v>
      </c>
      <c r="B28" s="3"/>
      <c r="C28" s="10"/>
      <c r="D28" s="11"/>
      <c r="E28" s="3"/>
      <c r="F28" s="11"/>
      <c r="G28" s="3"/>
    </row>
    <row r="29" spans="1:7" ht="18" customHeight="1" x14ac:dyDescent="0.25">
      <c r="A29" s="3">
        <v>22</v>
      </c>
      <c r="B29" s="3"/>
      <c r="C29" s="10"/>
      <c r="D29" s="11"/>
      <c r="E29" s="3"/>
      <c r="F29" s="11"/>
      <c r="G29" s="3"/>
    </row>
    <row r="30" spans="1:7" ht="18" customHeight="1" x14ac:dyDescent="0.25">
      <c r="A30" s="3">
        <v>23</v>
      </c>
      <c r="B30" s="3"/>
      <c r="C30" s="10"/>
      <c r="D30" s="11"/>
      <c r="E30" s="3"/>
      <c r="F30" s="11"/>
      <c r="G30" s="3"/>
    </row>
    <row r="31" spans="1:7" ht="18" customHeight="1" x14ac:dyDescent="0.25">
      <c r="A31" s="3">
        <v>24</v>
      </c>
      <c r="B31" s="3"/>
      <c r="C31" s="10"/>
      <c r="D31" s="11"/>
      <c r="E31" s="3"/>
      <c r="F31" s="11"/>
      <c r="G31" s="3"/>
    </row>
    <row r="32" spans="1:7" ht="18" customHeight="1" x14ac:dyDescent="0.25">
      <c r="A32" s="3">
        <v>25</v>
      </c>
      <c r="B32" s="3"/>
      <c r="C32" s="10"/>
      <c r="D32" s="11"/>
      <c r="E32" s="3"/>
      <c r="F32" s="11"/>
      <c r="G32" s="3"/>
    </row>
    <row r="33" spans="1:7" ht="18" customHeight="1" x14ac:dyDescent="0.25">
      <c r="A33" s="3">
        <v>26</v>
      </c>
      <c r="B33" s="3"/>
      <c r="C33" s="10"/>
      <c r="D33" s="11"/>
      <c r="E33" s="3"/>
      <c r="F33" s="11"/>
      <c r="G33" s="3"/>
    </row>
    <row r="34" spans="1:7" ht="18" customHeight="1" x14ac:dyDescent="0.25">
      <c r="A34" s="3">
        <v>27</v>
      </c>
      <c r="B34" s="3"/>
      <c r="C34" s="10"/>
      <c r="D34" s="11"/>
      <c r="E34" s="3"/>
      <c r="F34" s="11"/>
      <c r="G34" s="3"/>
    </row>
    <row r="35" spans="1:7" ht="18" customHeight="1" x14ac:dyDescent="0.25">
      <c r="A35" s="3">
        <v>28</v>
      </c>
      <c r="B35" s="3"/>
      <c r="C35" s="10"/>
      <c r="D35" s="11"/>
      <c r="E35" s="3"/>
      <c r="F35" s="11"/>
      <c r="G35" s="3"/>
    </row>
    <row r="36" spans="1:7" ht="18" customHeight="1" x14ac:dyDescent="0.25">
      <c r="A36" s="3">
        <v>29</v>
      </c>
      <c r="B36" s="3"/>
      <c r="C36" s="10"/>
      <c r="D36" s="11"/>
      <c r="E36" s="3"/>
      <c r="F36" s="11"/>
      <c r="G36" s="3"/>
    </row>
    <row r="37" spans="1:7" ht="18" customHeight="1" x14ac:dyDescent="0.25">
      <c r="A37" s="3">
        <v>30</v>
      </c>
      <c r="B37" s="3"/>
      <c r="C37" s="10"/>
      <c r="D37" s="11"/>
      <c r="E37" s="3"/>
      <c r="F37" s="11"/>
      <c r="G37" s="3"/>
    </row>
    <row r="38" spans="1:7" ht="18" customHeight="1" x14ac:dyDescent="0.25">
      <c r="A38" s="3">
        <v>31</v>
      </c>
      <c r="B38" s="3"/>
      <c r="C38" s="10"/>
      <c r="D38" s="11"/>
      <c r="E38" s="3"/>
      <c r="F38" s="11"/>
      <c r="G38" s="3"/>
    </row>
    <row r="39" spans="1:7" ht="18" customHeight="1" x14ac:dyDescent="0.25">
      <c r="A39" s="3">
        <v>32</v>
      </c>
      <c r="B39" s="3"/>
      <c r="C39" s="10"/>
      <c r="D39" s="11"/>
      <c r="E39" s="3"/>
      <c r="F39" s="11"/>
      <c r="G39" s="3"/>
    </row>
    <row r="40" spans="1:7" ht="18" customHeight="1" x14ac:dyDescent="0.25">
      <c r="A40" s="3">
        <v>33</v>
      </c>
      <c r="B40" s="3"/>
      <c r="C40" s="10"/>
      <c r="D40" s="11"/>
      <c r="E40" s="3"/>
      <c r="F40" s="11"/>
      <c r="G40" s="3"/>
    </row>
    <row r="41" spans="1:7" ht="18" customHeight="1" x14ac:dyDescent="0.25">
      <c r="A41" s="3">
        <v>34</v>
      </c>
      <c r="B41" s="3"/>
      <c r="C41" s="10"/>
      <c r="D41" s="11"/>
      <c r="E41" s="3"/>
      <c r="F41" s="11"/>
      <c r="G41" s="3"/>
    </row>
    <row r="42" spans="1:7" ht="18" customHeight="1" x14ac:dyDescent="0.25">
      <c r="A42" s="3">
        <v>35</v>
      </c>
      <c r="B42" s="3"/>
      <c r="C42" s="10"/>
      <c r="D42" s="11"/>
      <c r="E42" s="3"/>
      <c r="F42" s="11"/>
      <c r="G42" s="3"/>
    </row>
    <row r="43" spans="1:7" ht="18" customHeight="1" x14ac:dyDescent="0.25">
      <c r="A43" s="3">
        <v>36</v>
      </c>
      <c r="B43" s="3"/>
      <c r="C43" s="10"/>
      <c r="D43" s="11"/>
      <c r="E43" s="3"/>
      <c r="F43" s="11"/>
      <c r="G43" s="3"/>
    </row>
    <row r="44" spans="1:7" ht="18" customHeight="1" x14ac:dyDescent="0.25">
      <c r="A44" s="3">
        <v>37</v>
      </c>
      <c r="B44" s="3"/>
      <c r="C44" s="10"/>
      <c r="D44" s="11"/>
      <c r="E44" s="3"/>
      <c r="F44" s="11"/>
      <c r="G44" s="3"/>
    </row>
    <row r="45" spans="1:7" ht="18" customHeight="1" x14ac:dyDescent="0.25">
      <c r="A45" s="3">
        <v>38</v>
      </c>
      <c r="B45" s="3"/>
      <c r="C45" s="10"/>
      <c r="D45" s="11"/>
      <c r="E45" s="3"/>
      <c r="F45" s="11"/>
      <c r="G45" s="3"/>
    </row>
    <row r="46" spans="1:7" ht="18" customHeight="1" x14ac:dyDescent="0.25">
      <c r="A46" s="3">
        <v>39</v>
      </c>
      <c r="B46" s="3"/>
      <c r="C46" s="10"/>
      <c r="D46" s="11"/>
      <c r="E46" s="3"/>
      <c r="F46" s="11"/>
      <c r="G46" s="3"/>
    </row>
    <row r="47" spans="1:7" s="20" customFormat="1" ht="18" customHeight="1" x14ac:dyDescent="0.25">
      <c r="A47" s="3">
        <v>40</v>
      </c>
      <c r="B47" s="3"/>
      <c r="C47" s="10"/>
      <c r="D47" s="11"/>
      <c r="E47" s="3"/>
      <c r="F47" s="11"/>
      <c r="G47" s="3"/>
    </row>
    <row r="48" spans="1:7" s="20" customFormat="1" ht="18" hidden="1" customHeight="1" x14ac:dyDescent="0.25">
      <c r="A48" s="40">
        <v>1</v>
      </c>
      <c r="B48" s="40"/>
      <c r="C48" s="41"/>
      <c r="D48" s="42"/>
      <c r="E48" s="40"/>
      <c r="F48" s="42"/>
      <c r="G48" s="40"/>
    </row>
    <row r="49" spans="1:7" s="20" customFormat="1" ht="18" hidden="1" customHeight="1" x14ac:dyDescent="0.25">
      <c r="A49" s="40">
        <v>2</v>
      </c>
      <c r="B49" s="40"/>
      <c r="C49" s="41"/>
      <c r="D49" s="42"/>
      <c r="E49" s="40"/>
      <c r="F49" s="42"/>
      <c r="G49" s="40"/>
    </row>
    <row r="50" spans="1:7" s="20" customFormat="1" ht="18" hidden="1" customHeight="1" x14ac:dyDescent="0.25">
      <c r="A50" s="40">
        <v>3</v>
      </c>
      <c r="B50" s="40"/>
      <c r="C50" s="41"/>
      <c r="D50" s="42"/>
      <c r="E50" s="40"/>
      <c r="F50" s="42"/>
      <c r="G50" s="40"/>
    </row>
    <row r="51" spans="1:7" s="20" customFormat="1" ht="18" hidden="1" customHeight="1" x14ac:dyDescent="0.25">
      <c r="A51" s="40">
        <v>4</v>
      </c>
      <c r="B51" s="40"/>
      <c r="C51" s="41"/>
      <c r="D51" s="42"/>
      <c r="E51" s="40"/>
      <c r="F51" s="42"/>
      <c r="G51" s="40"/>
    </row>
    <row r="52" spans="1:7" s="20" customFormat="1" ht="18" hidden="1" customHeight="1" x14ac:dyDescent="0.25">
      <c r="A52" s="40">
        <v>5</v>
      </c>
      <c r="B52" s="40"/>
      <c r="C52" s="41"/>
      <c r="D52" s="42"/>
      <c r="E52" s="40"/>
      <c r="F52" s="42"/>
      <c r="G52" s="40"/>
    </row>
    <row r="53" spans="1:7" s="20" customFormat="1" ht="18" hidden="1" customHeight="1" x14ac:dyDescent="0.25">
      <c r="A53" s="40">
        <v>6</v>
      </c>
      <c r="B53" s="40"/>
      <c r="C53" s="41"/>
      <c r="D53" s="42"/>
      <c r="E53" s="40"/>
      <c r="F53" s="42"/>
      <c r="G53" s="40"/>
    </row>
    <row r="54" spans="1:7" s="20" customFormat="1" ht="18" hidden="1" customHeight="1" x14ac:dyDescent="0.25">
      <c r="A54" s="40">
        <v>7</v>
      </c>
      <c r="B54" s="40"/>
      <c r="C54" s="41"/>
      <c r="D54" s="42"/>
      <c r="E54" s="40"/>
      <c r="F54" s="42"/>
      <c r="G54" s="40"/>
    </row>
    <row r="55" spans="1:7" s="20" customFormat="1" ht="18" hidden="1" customHeight="1" x14ac:dyDescent="0.25">
      <c r="A55" s="40">
        <v>8</v>
      </c>
      <c r="B55" s="40"/>
      <c r="C55" s="41"/>
      <c r="D55" s="42"/>
      <c r="E55" s="40"/>
      <c r="F55" s="42"/>
      <c r="G55" s="40"/>
    </row>
    <row r="56" spans="1:7" s="20" customFormat="1" ht="18" hidden="1" customHeight="1" x14ac:dyDescent="0.25">
      <c r="A56" s="40">
        <v>9</v>
      </c>
      <c r="B56" s="40"/>
      <c r="C56" s="41"/>
      <c r="D56" s="42"/>
      <c r="E56" s="40"/>
      <c r="F56" s="42"/>
      <c r="G56" s="40"/>
    </row>
    <row r="57" spans="1:7" s="20" customFormat="1" ht="18" hidden="1" customHeight="1" x14ac:dyDescent="0.25">
      <c r="A57" s="40">
        <v>10</v>
      </c>
      <c r="B57" s="40"/>
      <c r="C57" s="41"/>
      <c r="D57" s="42"/>
      <c r="E57" s="40"/>
      <c r="F57" s="42"/>
      <c r="G57" s="40"/>
    </row>
    <row r="58" spans="1:7" s="20" customFormat="1" ht="18" hidden="1" customHeight="1" x14ac:dyDescent="0.25">
      <c r="A58" s="40">
        <v>11</v>
      </c>
      <c r="B58" s="40"/>
      <c r="C58" s="41"/>
      <c r="D58" s="42"/>
      <c r="E58" s="40"/>
      <c r="F58" s="42"/>
      <c r="G58" s="40"/>
    </row>
    <row r="59" spans="1:7" s="20" customFormat="1" ht="18" hidden="1" customHeight="1" x14ac:dyDescent="0.25">
      <c r="A59" s="40">
        <v>12</v>
      </c>
      <c r="B59" s="40"/>
      <c r="C59" s="41"/>
      <c r="D59" s="42"/>
      <c r="E59" s="40"/>
      <c r="F59" s="42"/>
      <c r="G59" s="40"/>
    </row>
    <row r="60" spans="1:7" s="20" customFormat="1" ht="18" hidden="1" customHeight="1" x14ac:dyDescent="0.25">
      <c r="A60" s="40">
        <v>13</v>
      </c>
      <c r="B60" s="40"/>
      <c r="C60" s="41"/>
      <c r="D60" s="42"/>
      <c r="E60" s="40"/>
      <c r="F60" s="42"/>
      <c r="G60" s="40"/>
    </row>
    <row r="61" spans="1:7" s="20" customFormat="1" ht="18" hidden="1" customHeight="1" x14ac:dyDescent="0.25">
      <c r="A61" s="40">
        <v>14</v>
      </c>
      <c r="B61" s="40"/>
      <c r="C61" s="41"/>
      <c r="D61" s="42"/>
      <c r="E61" s="40"/>
      <c r="F61" s="42"/>
      <c r="G61" s="40"/>
    </row>
    <row r="62" spans="1:7" s="20" customFormat="1" ht="18" hidden="1" customHeight="1" x14ac:dyDescent="0.25">
      <c r="A62" s="40">
        <v>15</v>
      </c>
      <c r="B62" s="40"/>
      <c r="C62" s="41"/>
      <c r="D62" s="42"/>
      <c r="E62" s="40"/>
      <c r="F62" s="42"/>
      <c r="G62" s="40"/>
    </row>
    <row r="63" spans="1:7" s="20" customFormat="1" ht="18" hidden="1" customHeight="1" x14ac:dyDescent="0.25">
      <c r="A63" s="40">
        <v>16</v>
      </c>
      <c r="B63" s="40"/>
      <c r="C63" s="41"/>
      <c r="D63" s="42"/>
      <c r="E63" s="40"/>
      <c r="F63" s="42"/>
      <c r="G63" s="40"/>
    </row>
    <row r="64" spans="1:7" s="20" customFormat="1" ht="18" hidden="1" customHeight="1" x14ac:dyDescent="0.25">
      <c r="A64" s="40">
        <v>17</v>
      </c>
      <c r="B64" s="40"/>
      <c r="C64" s="41"/>
      <c r="D64" s="42"/>
      <c r="E64" s="40"/>
      <c r="F64" s="42"/>
      <c r="G64" s="40"/>
    </row>
    <row r="65" spans="1:7" s="20" customFormat="1" ht="18" hidden="1" customHeight="1" x14ac:dyDescent="0.25">
      <c r="A65" s="40">
        <v>18</v>
      </c>
      <c r="B65" s="40"/>
      <c r="C65" s="41"/>
      <c r="D65" s="42"/>
      <c r="E65" s="40"/>
      <c r="F65" s="42"/>
      <c r="G65" s="40"/>
    </row>
    <row r="66" spans="1:7" s="20" customFormat="1" ht="18" hidden="1" customHeight="1" x14ac:dyDescent="0.25">
      <c r="A66" s="40">
        <v>19</v>
      </c>
      <c r="B66" s="40"/>
      <c r="C66" s="41"/>
      <c r="D66" s="42"/>
      <c r="E66" s="40"/>
      <c r="F66" s="42"/>
      <c r="G66" s="40"/>
    </row>
    <row r="67" spans="1:7" s="20" customFormat="1" ht="18" hidden="1" customHeight="1" x14ac:dyDescent="0.25">
      <c r="A67" s="40">
        <v>20</v>
      </c>
      <c r="B67" s="40"/>
      <c r="C67" s="41"/>
      <c r="D67" s="42"/>
      <c r="E67" s="40"/>
      <c r="F67" s="42"/>
      <c r="G67" s="40"/>
    </row>
    <row r="68" spans="1:7" s="20" customFormat="1" ht="18" hidden="1" customHeight="1" x14ac:dyDescent="0.25">
      <c r="A68" s="40">
        <v>21</v>
      </c>
      <c r="B68" s="40"/>
      <c r="C68" s="41"/>
      <c r="D68" s="42"/>
      <c r="E68" s="40"/>
      <c r="F68" s="42"/>
      <c r="G68" s="40"/>
    </row>
    <row r="69" spans="1:7" s="20" customFormat="1" ht="18" hidden="1" customHeight="1" x14ac:dyDescent="0.25">
      <c r="A69" s="40">
        <v>22</v>
      </c>
      <c r="B69" s="40"/>
      <c r="C69" s="41"/>
      <c r="D69" s="42"/>
      <c r="E69" s="40"/>
      <c r="F69" s="42"/>
      <c r="G69" s="40"/>
    </row>
    <row r="70" spans="1:7" s="20" customFormat="1" ht="18" hidden="1" customHeight="1" x14ac:dyDescent="0.25">
      <c r="A70" s="40">
        <v>23</v>
      </c>
      <c r="B70" s="40"/>
      <c r="C70" s="41"/>
      <c r="D70" s="42"/>
      <c r="E70" s="40"/>
      <c r="F70" s="42"/>
      <c r="G70" s="40"/>
    </row>
    <row r="71" spans="1:7" s="20" customFormat="1" ht="18" hidden="1" customHeight="1" x14ac:dyDescent="0.25">
      <c r="A71" s="40">
        <v>24</v>
      </c>
      <c r="B71" s="40"/>
      <c r="C71" s="41"/>
      <c r="D71" s="42"/>
      <c r="E71" s="40"/>
      <c r="F71" s="42"/>
      <c r="G71" s="40"/>
    </row>
    <row r="72" spans="1:7" s="20" customFormat="1" ht="18" hidden="1" customHeight="1" x14ac:dyDescent="0.25">
      <c r="A72" s="40">
        <v>25</v>
      </c>
      <c r="B72" s="40"/>
      <c r="C72" s="41"/>
      <c r="D72" s="42"/>
      <c r="E72" s="40"/>
      <c r="F72" s="42"/>
      <c r="G72" s="40"/>
    </row>
    <row r="73" spans="1:7" s="20" customFormat="1" ht="18" hidden="1" customHeight="1" x14ac:dyDescent="0.25">
      <c r="A73" s="40">
        <v>26</v>
      </c>
      <c r="B73" s="40"/>
      <c r="C73" s="41"/>
      <c r="D73" s="42"/>
      <c r="E73" s="40"/>
      <c r="F73" s="42"/>
      <c r="G73" s="40"/>
    </row>
    <row r="74" spans="1:7" s="20" customFormat="1" ht="18" hidden="1" customHeight="1" x14ac:dyDescent="0.25">
      <c r="A74" s="40">
        <v>27</v>
      </c>
      <c r="B74" s="40"/>
      <c r="C74" s="41"/>
      <c r="D74" s="42"/>
      <c r="E74" s="40"/>
      <c r="F74" s="42"/>
      <c r="G74" s="40"/>
    </row>
    <row r="75" spans="1:7" s="20" customFormat="1" ht="18" hidden="1" customHeight="1" x14ac:dyDescent="0.25">
      <c r="A75" s="40">
        <v>28</v>
      </c>
      <c r="B75" s="40"/>
      <c r="C75" s="41"/>
      <c r="D75" s="42"/>
      <c r="E75" s="40"/>
      <c r="F75" s="42"/>
      <c r="G75" s="40"/>
    </row>
    <row r="76" spans="1:7" s="20" customFormat="1" ht="18" hidden="1" customHeight="1" x14ac:dyDescent="0.25">
      <c r="A76" s="40">
        <v>29</v>
      </c>
      <c r="B76" s="40"/>
      <c r="C76" s="41"/>
      <c r="D76" s="42"/>
      <c r="E76" s="40"/>
      <c r="F76" s="42"/>
      <c r="G76" s="40"/>
    </row>
    <row r="77" spans="1:7" s="20" customFormat="1" ht="18" hidden="1" customHeight="1" x14ac:dyDescent="0.25">
      <c r="A77" s="40">
        <v>30</v>
      </c>
      <c r="B77" s="40"/>
      <c r="C77" s="41"/>
      <c r="D77" s="42"/>
      <c r="E77" s="40"/>
      <c r="F77" s="42"/>
      <c r="G77" s="40"/>
    </row>
    <row r="78" spans="1:7" s="20" customFormat="1" ht="18" hidden="1" customHeight="1" x14ac:dyDescent="0.25">
      <c r="A78" s="40">
        <v>31</v>
      </c>
      <c r="B78" s="40"/>
      <c r="C78" s="41"/>
      <c r="D78" s="42"/>
      <c r="E78" s="40"/>
      <c r="F78" s="42"/>
      <c r="G78" s="40"/>
    </row>
    <row r="79" spans="1:7" s="20" customFormat="1" ht="18" hidden="1" customHeight="1" x14ac:dyDescent="0.25">
      <c r="A79" s="40">
        <v>32</v>
      </c>
      <c r="B79" s="40"/>
      <c r="C79" s="41"/>
      <c r="D79" s="42"/>
      <c r="E79" s="40"/>
      <c r="F79" s="42"/>
      <c r="G79" s="40"/>
    </row>
    <row r="80" spans="1:7" s="20" customFormat="1" ht="18" hidden="1" customHeight="1" x14ac:dyDescent="0.25">
      <c r="A80" s="40">
        <v>33</v>
      </c>
      <c r="B80" s="40"/>
      <c r="C80" s="41"/>
      <c r="D80" s="42"/>
      <c r="E80" s="40"/>
      <c r="F80" s="42"/>
      <c r="G80" s="40"/>
    </row>
    <row r="81" spans="1:8" s="20" customFormat="1" ht="18" hidden="1" customHeight="1" x14ac:dyDescent="0.25">
      <c r="A81" s="40">
        <v>34</v>
      </c>
      <c r="B81" s="40"/>
      <c r="C81" s="41"/>
      <c r="D81" s="42"/>
      <c r="E81" s="40"/>
      <c r="F81" s="42"/>
      <c r="G81" s="40"/>
    </row>
    <row r="82" spans="1:8" s="20" customFormat="1" ht="18" hidden="1" customHeight="1" x14ac:dyDescent="0.25">
      <c r="A82" s="40">
        <v>35</v>
      </c>
      <c r="B82" s="40"/>
      <c r="C82" s="41"/>
      <c r="D82" s="42"/>
      <c r="E82" s="40"/>
      <c r="F82" s="42"/>
      <c r="G82" s="40"/>
    </row>
    <row r="83" spans="1:8" s="20" customFormat="1" ht="18" hidden="1" customHeight="1" x14ac:dyDescent="0.25">
      <c r="A83" s="40">
        <v>36</v>
      </c>
      <c r="B83" s="40"/>
      <c r="C83" s="41"/>
      <c r="D83" s="42"/>
      <c r="E83" s="40"/>
      <c r="F83" s="42"/>
      <c r="G83" s="40"/>
    </row>
    <row r="84" spans="1:8" s="20" customFormat="1" ht="18" hidden="1" customHeight="1" x14ac:dyDescent="0.25">
      <c r="A84" s="40">
        <v>37</v>
      </c>
      <c r="B84" s="40"/>
      <c r="C84" s="41"/>
      <c r="D84" s="42"/>
      <c r="E84" s="40"/>
      <c r="F84" s="42"/>
      <c r="G84" s="40"/>
    </row>
    <row r="85" spans="1:8" ht="18" hidden="1" customHeight="1" x14ac:dyDescent="0.25">
      <c r="A85" s="40">
        <v>38</v>
      </c>
      <c r="B85" s="40"/>
      <c r="C85" s="41"/>
      <c r="D85" s="42"/>
      <c r="E85" s="40"/>
      <c r="F85" s="42"/>
      <c r="G85" s="40"/>
    </row>
    <row r="86" spans="1:8" ht="33" customHeight="1" x14ac:dyDescent="0.25">
      <c r="A86" s="12"/>
      <c r="B86" s="27" t="str">
        <f>"اجمالى عدد "&amp;COUNTIF(C8:C85,"*")&amp;" شيك بمبلغ"</f>
        <v>اجمالى عدد 0 شيك بمبلغ</v>
      </c>
      <c r="C86" s="27"/>
      <c r="D86" s="28"/>
      <c r="E86" s="13">
        <f>SUM(E8:E85)</f>
        <v>0</v>
      </c>
      <c r="F86" s="29" t="str">
        <f>NoToTxt(E86,"جنيه","قرش")&amp;" لاغير  "</f>
        <v xml:space="preserve">صفر لاغير  </v>
      </c>
      <c r="G86" s="30"/>
      <c r="H86" s="17">
        <f>COUNTIF(C8:C85,"*")</f>
        <v>0</v>
      </c>
    </row>
    <row r="87" spans="1:8" ht="18" customHeight="1" x14ac:dyDescent="0.25">
      <c r="A87" s="23" t="s">
        <v>10602</v>
      </c>
      <c r="B87" s="23"/>
      <c r="C87" s="23"/>
      <c r="D87" s="23"/>
      <c r="E87" s="23"/>
      <c r="F87" s="23"/>
      <c r="G87" s="23"/>
    </row>
    <row r="88" spans="1:8" ht="32.25" customHeight="1" x14ac:dyDescent="0.25">
      <c r="A88" s="24" t="s">
        <v>10014</v>
      </c>
      <c r="B88" s="25"/>
      <c r="C88" s="25"/>
      <c r="D88" s="25"/>
      <c r="E88" s="25"/>
      <c r="F88" s="25"/>
      <c r="G88" s="25"/>
    </row>
    <row r="89" spans="1:8" ht="18" customHeight="1" x14ac:dyDescent="0.25">
      <c r="A89" s="25"/>
      <c r="B89" s="25"/>
      <c r="C89" s="25"/>
      <c r="D89" s="25"/>
      <c r="E89" s="25"/>
      <c r="F89" s="25"/>
      <c r="G89" s="25"/>
    </row>
    <row r="90" spans="1:8" ht="33.75" customHeight="1" x14ac:dyDescent="0.25">
      <c r="A90" s="21" t="str">
        <f>" تابع "&amp;A5</f>
        <v xml:space="preserve"> تابع حافظة شيكات محررة للعملاء طبقاً لموافقة لجنه الائتمان والتمويل المتناهى الصغر المنعقدة في تاريخ </v>
      </c>
      <c r="B90" s="21"/>
      <c r="C90" s="21"/>
      <c r="D90" s="21"/>
      <c r="E90" s="21"/>
      <c r="F90" s="21"/>
      <c r="G90" s="21"/>
    </row>
    <row r="91" spans="1:8" ht="19.5" customHeight="1" x14ac:dyDescent="0.25">
      <c r="A91" s="22" t="str">
        <f>A6</f>
        <v>علي الحساب الجاري رقم / 405033714006  ببنك الأسكندرية فرع اسيوط</v>
      </c>
      <c r="B91" s="22"/>
      <c r="C91" s="22"/>
      <c r="D91" s="22"/>
      <c r="E91" s="22"/>
      <c r="F91" s="22"/>
      <c r="G91" s="22"/>
    </row>
    <row r="92" spans="1:8" ht="30" customHeight="1" x14ac:dyDescent="0.25">
      <c r="A92" s="6" t="s">
        <v>10005</v>
      </c>
      <c r="B92" s="6" t="s">
        <v>10006</v>
      </c>
      <c r="C92" s="9" t="s">
        <v>10007</v>
      </c>
      <c r="D92" s="6" t="s">
        <v>10008</v>
      </c>
      <c r="E92" s="6" t="s">
        <v>10009</v>
      </c>
      <c r="F92" s="6" t="s">
        <v>10010</v>
      </c>
      <c r="G92" s="6" t="s">
        <v>10011</v>
      </c>
    </row>
    <row r="93" spans="1:8" ht="30" customHeight="1" x14ac:dyDescent="0.25">
      <c r="A93" s="31" t="s">
        <v>10012</v>
      </c>
      <c r="B93" s="32"/>
      <c r="C93" s="32"/>
      <c r="D93" s="33"/>
      <c r="E93" s="14">
        <f>E86</f>
        <v>0</v>
      </c>
      <c r="F93" s="29" t="str">
        <f>NoToTxt(E93,"جنيه","قرش")&amp;" لاغير  "</f>
        <v xml:space="preserve">صفر لاغير  </v>
      </c>
      <c r="G93" s="30"/>
    </row>
    <row r="94" spans="1:8" ht="18" customHeight="1" x14ac:dyDescent="0.25">
      <c r="A94" s="3">
        <v>41</v>
      </c>
      <c r="B94" s="3"/>
      <c r="C94" s="10"/>
      <c r="D94" s="11"/>
      <c r="E94" s="3"/>
      <c r="F94" s="11"/>
      <c r="G94" s="3"/>
    </row>
    <row r="95" spans="1:8" ht="18" customHeight="1" x14ac:dyDescent="0.25">
      <c r="A95" s="3">
        <v>42</v>
      </c>
      <c r="B95" s="3"/>
      <c r="C95" s="10"/>
      <c r="D95" s="11"/>
      <c r="E95" s="3"/>
      <c r="F95" s="11"/>
      <c r="G95" s="3"/>
    </row>
    <row r="96" spans="1:8" ht="18" customHeight="1" x14ac:dyDescent="0.25">
      <c r="A96" s="3">
        <v>43</v>
      </c>
      <c r="B96" s="3"/>
      <c r="C96" s="10"/>
      <c r="D96" s="11"/>
      <c r="E96" s="3"/>
      <c r="F96" s="11"/>
      <c r="G96" s="3"/>
    </row>
    <row r="97" spans="1:7" ht="18" customHeight="1" x14ac:dyDescent="0.25">
      <c r="A97" s="3">
        <v>44</v>
      </c>
      <c r="B97" s="3"/>
      <c r="C97" s="10"/>
      <c r="D97" s="11"/>
      <c r="E97" s="3"/>
      <c r="F97" s="11"/>
      <c r="G97" s="3"/>
    </row>
    <row r="98" spans="1:7" ht="18" customHeight="1" x14ac:dyDescent="0.25">
      <c r="A98" s="3">
        <v>45</v>
      </c>
      <c r="B98" s="3"/>
      <c r="C98" s="10"/>
      <c r="D98" s="11"/>
      <c r="E98" s="3"/>
      <c r="F98" s="11"/>
      <c r="G98" s="3"/>
    </row>
    <row r="99" spans="1:7" ht="18" customHeight="1" x14ac:dyDescent="0.25">
      <c r="A99" s="3">
        <v>46</v>
      </c>
      <c r="B99" s="3"/>
      <c r="C99" s="10"/>
      <c r="D99" s="11"/>
      <c r="E99" s="3"/>
      <c r="F99" s="11"/>
      <c r="G99" s="3"/>
    </row>
    <row r="100" spans="1:7" ht="18" customHeight="1" x14ac:dyDescent="0.25">
      <c r="A100" s="3">
        <v>47</v>
      </c>
      <c r="B100" s="3"/>
      <c r="C100" s="10"/>
      <c r="D100" s="11"/>
      <c r="E100" s="3"/>
      <c r="F100" s="11"/>
      <c r="G100" s="3"/>
    </row>
    <row r="101" spans="1:7" ht="18" customHeight="1" x14ac:dyDescent="0.25">
      <c r="A101" s="3">
        <v>48</v>
      </c>
      <c r="B101" s="3"/>
      <c r="C101" s="10"/>
      <c r="D101" s="11"/>
      <c r="E101" s="3"/>
      <c r="F101" s="11"/>
      <c r="G101" s="3"/>
    </row>
    <row r="102" spans="1:7" ht="18" customHeight="1" x14ac:dyDescent="0.25">
      <c r="A102" s="3">
        <v>49</v>
      </c>
      <c r="B102" s="3"/>
      <c r="C102" s="10"/>
      <c r="D102" s="11"/>
      <c r="E102" s="3"/>
      <c r="F102" s="11"/>
      <c r="G102" s="3"/>
    </row>
    <row r="103" spans="1:7" ht="18" customHeight="1" x14ac:dyDescent="0.25">
      <c r="A103" s="3">
        <v>50</v>
      </c>
      <c r="B103" s="3"/>
      <c r="C103" s="10"/>
      <c r="D103" s="11"/>
      <c r="E103" s="3"/>
      <c r="F103" s="11"/>
      <c r="G103" s="3"/>
    </row>
    <row r="104" spans="1:7" ht="18" customHeight="1" x14ac:dyDescent="0.25">
      <c r="A104" s="3">
        <v>51</v>
      </c>
      <c r="B104" s="3"/>
      <c r="C104" s="10"/>
      <c r="D104" s="11"/>
      <c r="E104" s="3"/>
      <c r="F104" s="11"/>
      <c r="G104" s="3"/>
    </row>
    <row r="105" spans="1:7" ht="18" customHeight="1" x14ac:dyDescent="0.25">
      <c r="A105" s="3">
        <v>52</v>
      </c>
      <c r="B105" s="3"/>
      <c r="C105" s="10"/>
      <c r="D105" s="11"/>
      <c r="E105" s="3"/>
      <c r="F105" s="11"/>
      <c r="G105" s="3"/>
    </row>
    <row r="106" spans="1:7" ht="18" customHeight="1" x14ac:dyDescent="0.25">
      <c r="A106" s="3">
        <v>53</v>
      </c>
      <c r="B106" s="3"/>
      <c r="C106" s="10"/>
      <c r="D106" s="11"/>
      <c r="E106" s="3"/>
      <c r="F106" s="11"/>
      <c r="G106" s="3"/>
    </row>
    <row r="107" spans="1:7" ht="18" customHeight="1" x14ac:dyDescent="0.25">
      <c r="A107" s="3">
        <v>54</v>
      </c>
      <c r="B107" s="3"/>
      <c r="C107" s="10"/>
      <c r="D107" s="11"/>
      <c r="E107" s="3"/>
      <c r="F107" s="11"/>
      <c r="G107" s="3"/>
    </row>
    <row r="108" spans="1:7" ht="18" customHeight="1" x14ac:dyDescent="0.25">
      <c r="A108" s="3">
        <v>55</v>
      </c>
      <c r="B108" s="3"/>
      <c r="C108" s="10"/>
      <c r="D108" s="11"/>
      <c r="E108" s="3"/>
      <c r="F108" s="11"/>
      <c r="G108" s="3"/>
    </row>
    <row r="109" spans="1:7" ht="18" customHeight="1" x14ac:dyDescent="0.25">
      <c r="A109" s="3">
        <v>56</v>
      </c>
      <c r="B109" s="3"/>
      <c r="C109" s="10"/>
      <c r="D109" s="11"/>
      <c r="E109" s="3"/>
      <c r="F109" s="11"/>
      <c r="G109" s="3"/>
    </row>
    <row r="110" spans="1:7" ht="18" customHeight="1" x14ac:dyDescent="0.25">
      <c r="A110" s="3">
        <v>57</v>
      </c>
      <c r="B110" s="3"/>
      <c r="C110" s="10"/>
      <c r="D110" s="11"/>
      <c r="E110" s="3"/>
      <c r="F110" s="11"/>
      <c r="G110" s="3"/>
    </row>
    <row r="111" spans="1:7" ht="18" customHeight="1" x14ac:dyDescent="0.25">
      <c r="A111" s="3">
        <v>58</v>
      </c>
      <c r="B111" s="3"/>
      <c r="C111" s="10"/>
      <c r="D111" s="11"/>
      <c r="E111" s="3"/>
      <c r="F111" s="11"/>
      <c r="G111" s="3"/>
    </row>
    <row r="112" spans="1:7" ht="18" customHeight="1" x14ac:dyDescent="0.25">
      <c r="A112" s="3">
        <v>59</v>
      </c>
      <c r="B112" s="3"/>
      <c r="C112" s="10"/>
      <c r="D112" s="11"/>
      <c r="E112" s="3"/>
      <c r="F112" s="11"/>
      <c r="G112" s="3"/>
    </row>
    <row r="113" spans="1:7" ht="18" customHeight="1" x14ac:dyDescent="0.25">
      <c r="A113" s="3">
        <v>60</v>
      </c>
      <c r="B113" s="3"/>
      <c r="C113" s="10"/>
      <c r="D113" s="11"/>
      <c r="E113" s="3"/>
      <c r="F113" s="11"/>
      <c r="G113" s="3"/>
    </row>
    <row r="114" spans="1:7" ht="18" customHeight="1" x14ac:dyDescent="0.25">
      <c r="A114" s="3">
        <v>61</v>
      </c>
      <c r="B114" s="3"/>
      <c r="C114" s="10"/>
      <c r="D114" s="11"/>
      <c r="E114" s="3"/>
      <c r="F114" s="11"/>
      <c r="G114" s="3"/>
    </row>
    <row r="115" spans="1:7" ht="18" customHeight="1" x14ac:dyDescent="0.25">
      <c r="A115" s="3">
        <v>62</v>
      </c>
      <c r="B115" s="3"/>
      <c r="C115" s="10"/>
      <c r="D115" s="11"/>
      <c r="E115" s="3"/>
      <c r="F115" s="11"/>
      <c r="G115" s="3"/>
    </row>
    <row r="116" spans="1:7" ht="18" customHeight="1" x14ac:dyDescent="0.25">
      <c r="A116" s="3">
        <v>63</v>
      </c>
      <c r="B116" s="3"/>
      <c r="C116" s="10"/>
      <c r="D116" s="11"/>
      <c r="E116" s="3"/>
      <c r="F116" s="11"/>
      <c r="G116" s="3"/>
    </row>
    <row r="117" spans="1:7" ht="18" customHeight="1" x14ac:dyDescent="0.25">
      <c r="A117" s="3">
        <v>64</v>
      </c>
      <c r="B117" s="3"/>
      <c r="C117" s="10"/>
      <c r="D117" s="11"/>
      <c r="E117" s="3"/>
      <c r="F117" s="11"/>
      <c r="G117" s="3"/>
    </row>
    <row r="118" spans="1:7" ht="18" customHeight="1" x14ac:dyDescent="0.25">
      <c r="A118" s="3">
        <v>65</v>
      </c>
      <c r="B118" s="3"/>
      <c r="C118" s="10"/>
      <c r="D118" s="11"/>
      <c r="E118" s="3"/>
      <c r="F118" s="11"/>
      <c r="G118" s="3"/>
    </row>
    <row r="119" spans="1:7" ht="18" customHeight="1" x14ac:dyDescent="0.25">
      <c r="A119" s="3">
        <v>66</v>
      </c>
      <c r="B119" s="3"/>
      <c r="C119" s="10"/>
      <c r="D119" s="11"/>
      <c r="E119" s="3"/>
      <c r="F119" s="11"/>
      <c r="G119" s="3"/>
    </row>
    <row r="120" spans="1:7" ht="18" customHeight="1" x14ac:dyDescent="0.25">
      <c r="A120" s="3">
        <v>67</v>
      </c>
      <c r="B120" s="3"/>
      <c r="C120" s="10"/>
      <c r="D120" s="11"/>
      <c r="E120" s="3"/>
      <c r="F120" s="11"/>
      <c r="G120" s="3"/>
    </row>
    <row r="121" spans="1:7" ht="18" customHeight="1" x14ac:dyDescent="0.25">
      <c r="A121" s="3">
        <v>68</v>
      </c>
      <c r="B121" s="3"/>
      <c r="C121" s="10"/>
      <c r="D121" s="11"/>
      <c r="E121" s="3"/>
      <c r="F121" s="11"/>
      <c r="G121" s="3"/>
    </row>
    <row r="122" spans="1:7" ht="18" customHeight="1" x14ac:dyDescent="0.25">
      <c r="A122" s="3">
        <v>69</v>
      </c>
      <c r="B122" s="3"/>
      <c r="C122" s="10"/>
      <c r="D122" s="11"/>
      <c r="E122" s="3"/>
      <c r="F122" s="11"/>
      <c r="G122" s="3"/>
    </row>
    <row r="123" spans="1:7" ht="18" customHeight="1" x14ac:dyDescent="0.25">
      <c r="A123" s="3">
        <v>70</v>
      </c>
      <c r="B123" s="3"/>
      <c r="C123" s="10"/>
      <c r="D123" s="11"/>
      <c r="E123" s="3"/>
      <c r="F123" s="11"/>
      <c r="G123" s="3"/>
    </row>
    <row r="124" spans="1:7" ht="18" customHeight="1" x14ac:dyDescent="0.25">
      <c r="A124" s="3">
        <v>71</v>
      </c>
      <c r="B124" s="3"/>
      <c r="C124" s="10"/>
      <c r="D124" s="11"/>
      <c r="E124" s="3"/>
      <c r="F124" s="11"/>
      <c r="G124" s="3"/>
    </row>
    <row r="125" spans="1:7" ht="18" customHeight="1" x14ac:dyDescent="0.25">
      <c r="A125" s="3">
        <v>72</v>
      </c>
      <c r="B125" s="3"/>
      <c r="C125" s="10"/>
      <c r="D125" s="11"/>
      <c r="E125" s="3"/>
      <c r="F125" s="11"/>
      <c r="G125" s="3"/>
    </row>
    <row r="126" spans="1:7" ht="18" customHeight="1" x14ac:dyDescent="0.25">
      <c r="A126" s="3">
        <v>73</v>
      </c>
      <c r="B126" s="3"/>
      <c r="C126" s="10"/>
      <c r="D126" s="11"/>
      <c r="E126" s="3"/>
      <c r="F126" s="11"/>
      <c r="G126" s="3"/>
    </row>
    <row r="127" spans="1:7" ht="18" customHeight="1" x14ac:dyDescent="0.25">
      <c r="A127" s="3">
        <v>74</v>
      </c>
      <c r="B127" s="3"/>
      <c r="C127" s="10"/>
      <c r="D127" s="11"/>
      <c r="E127" s="3"/>
      <c r="F127" s="11"/>
      <c r="G127" s="3"/>
    </row>
    <row r="128" spans="1:7" ht="18" customHeight="1" x14ac:dyDescent="0.25">
      <c r="A128" s="3">
        <v>75</v>
      </c>
      <c r="B128" s="3"/>
      <c r="C128" s="10"/>
      <c r="D128" s="11"/>
      <c r="E128" s="3"/>
      <c r="F128" s="11"/>
      <c r="G128" s="3"/>
    </row>
    <row r="129" spans="1:8" ht="18" customHeight="1" x14ac:dyDescent="0.25">
      <c r="A129" s="3">
        <v>76</v>
      </c>
      <c r="B129" s="3"/>
      <c r="C129" s="10"/>
      <c r="D129" s="11"/>
      <c r="E129" s="3"/>
      <c r="F129" s="11"/>
      <c r="G129" s="3"/>
    </row>
    <row r="130" spans="1:8" ht="18" customHeight="1" x14ac:dyDescent="0.25">
      <c r="A130" s="3">
        <v>77</v>
      </c>
      <c r="B130" s="3"/>
      <c r="C130" s="10"/>
      <c r="D130" s="11"/>
      <c r="E130" s="3"/>
      <c r="F130" s="11"/>
      <c r="G130" s="3"/>
    </row>
    <row r="131" spans="1:8" ht="18" customHeight="1" x14ac:dyDescent="0.25">
      <c r="A131" s="3">
        <v>78</v>
      </c>
      <c r="B131" s="3"/>
      <c r="C131" s="10"/>
      <c r="D131" s="11"/>
      <c r="E131" s="3"/>
      <c r="F131" s="11"/>
      <c r="G131" s="3"/>
    </row>
    <row r="132" spans="1:8" ht="18" customHeight="1" x14ac:dyDescent="0.25">
      <c r="A132" s="3">
        <v>79</v>
      </c>
      <c r="B132" s="3"/>
      <c r="C132" s="10"/>
      <c r="D132" s="11"/>
      <c r="E132" s="3"/>
      <c r="F132" s="11"/>
      <c r="G132" s="3"/>
    </row>
    <row r="133" spans="1:8" ht="18" customHeight="1" x14ac:dyDescent="0.25">
      <c r="A133" s="3">
        <v>80</v>
      </c>
      <c r="B133" s="3"/>
      <c r="C133" s="10"/>
      <c r="D133" s="11"/>
      <c r="E133" s="3"/>
      <c r="F133" s="11"/>
      <c r="G133" s="3"/>
    </row>
    <row r="134" spans="1:8" ht="33" customHeight="1" x14ac:dyDescent="0.25">
      <c r="A134" s="26" t="str">
        <f>"اجمالى عدد "&amp;SUM(H86+H134)&amp;" شيك بمبلغ"</f>
        <v>اجمالى عدد 0 شيك بمبلغ</v>
      </c>
      <c r="B134" s="27"/>
      <c r="C134" s="27"/>
      <c r="D134" s="28"/>
      <c r="E134" s="13">
        <f>SUM(E93:E133)</f>
        <v>0</v>
      </c>
      <c r="F134" s="29" t="str">
        <f>NoToTxt(E134,"جنيه","قرش")&amp;" لاغير  "</f>
        <v xml:space="preserve">صفر لاغير  </v>
      </c>
      <c r="G134" s="30"/>
      <c r="H134" s="4">
        <f>COUNTIF(C94:C133,"*")</f>
        <v>0</v>
      </c>
    </row>
    <row r="135" spans="1:8" ht="18" customHeight="1" x14ac:dyDescent="0.25">
      <c r="A135" s="23" t="s">
        <v>10603</v>
      </c>
      <c r="B135" s="23"/>
      <c r="C135" s="23"/>
      <c r="D135" s="23"/>
      <c r="E135" s="23"/>
      <c r="F135" s="23"/>
      <c r="G135" s="23"/>
    </row>
    <row r="136" spans="1:8" ht="32.25" customHeight="1" x14ac:dyDescent="0.25">
      <c r="A136" s="24" t="s">
        <v>10014</v>
      </c>
      <c r="B136" s="25"/>
      <c r="C136" s="25"/>
      <c r="D136" s="25"/>
      <c r="E136" s="25"/>
      <c r="F136" s="25"/>
      <c r="G136" s="25"/>
    </row>
    <row r="137" spans="1:8" ht="18" customHeight="1" x14ac:dyDescent="0.25">
      <c r="A137" s="25"/>
      <c r="B137" s="25"/>
      <c r="C137" s="25"/>
      <c r="D137" s="25"/>
      <c r="E137" s="25"/>
      <c r="F137" s="25"/>
      <c r="G137" s="25"/>
    </row>
    <row r="138" spans="1:8" ht="33.75" customHeight="1" x14ac:dyDescent="0.25">
      <c r="A138" s="21" t="str">
        <f>A90</f>
        <v xml:space="preserve"> تابع حافظة شيكات محررة للعملاء طبقاً لموافقة لجنه الائتمان والتمويل المتناهى الصغر المنعقدة في تاريخ </v>
      </c>
      <c r="B138" s="21"/>
      <c r="C138" s="21"/>
      <c r="D138" s="21"/>
      <c r="E138" s="21"/>
      <c r="F138" s="21"/>
      <c r="G138" s="21"/>
    </row>
    <row r="139" spans="1:8" ht="19.5" customHeight="1" x14ac:dyDescent="0.25">
      <c r="A139" s="22" t="str">
        <f>A91</f>
        <v>علي الحساب الجاري رقم / 405033714006  ببنك الأسكندرية فرع اسيوط</v>
      </c>
      <c r="B139" s="22"/>
      <c r="C139" s="22"/>
      <c r="D139" s="22"/>
      <c r="E139" s="22"/>
      <c r="F139" s="22"/>
      <c r="G139" s="22"/>
    </row>
    <row r="140" spans="1:8" ht="30" customHeight="1" x14ac:dyDescent="0.25">
      <c r="A140" s="6" t="s">
        <v>10005</v>
      </c>
      <c r="B140" s="6" t="s">
        <v>10006</v>
      </c>
      <c r="C140" s="9" t="s">
        <v>10007</v>
      </c>
      <c r="D140" s="6" t="s">
        <v>10008</v>
      </c>
      <c r="E140" s="6" t="s">
        <v>10009</v>
      </c>
      <c r="F140" s="6" t="s">
        <v>10010</v>
      </c>
      <c r="G140" s="6" t="s">
        <v>10011</v>
      </c>
    </row>
    <row r="141" spans="1:8" ht="30" customHeight="1" x14ac:dyDescent="0.25">
      <c r="A141" s="31" t="s">
        <v>10015</v>
      </c>
      <c r="B141" s="32"/>
      <c r="C141" s="32"/>
      <c r="D141" s="33"/>
      <c r="E141" s="14">
        <f>E134</f>
        <v>0</v>
      </c>
      <c r="F141" s="29" t="str">
        <f>NoToTxt(E141,"جنيه","قرش")&amp;" لاغير  "</f>
        <v xml:space="preserve">صفر لاغير  </v>
      </c>
      <c r="G141" s="30"/>
    </row>
    <row r="142" spans="1:8" ht="18" customHeight="1" x14ac:dyDescent="0.25">
      <c r="A142" s="3">
        <v>81</v>
      </c>
      <c r="B142" s="3"/>
      <c r="C142" s="10"/>
      <c r="D142" s="11"/>
      <c r="E142" s="3"/>
      <c r="F142" s="11"/>
      <c r="G142" s="3"/>
    </row>
    <row r="143" spans="1:8" ht="18" customHeight="1" x14ac:dyDescent="0.25">
      <c r="A143" s="3">
        <v>82</v>
      </c>
      <c r="B143" s="3"/>
      <c r="C143" s="10"/>
      <c r="D143" s="11"/>
      <c r="E143" s="3"/>
      <c r="F143" s="11"/>
      <c r="G143" s="3"/>
    </row>
    <row r="144" spans="1:8" ht="18" customHeight="1" x14ac:dyDescent="0.25">
      <c r="A144" s="3">
        <v>83</v>
      </c>
      <c r="B144" s="3"/>
      <c r="C144" s="10"/>
      <c r="D144" s="11"/>
      <c r="E144" s="3"/>
      <c r="F144" s="11"/>
      <c r="G144" s="3"/>
    </row>
    <row r="145" spans="1:7" ht="18" customHeight="1" x14ac:dyDescent="0.25">
      <c r="A145" s="3">
        <v>84</v>
      </c>
      <c r="B145" s="3"/>
      <c r="C145" s="10"/>
      <c r="D145" s="11"/>
      <c r="E145" s="3"/>
      <c r="F145" s="11"/>
      <c r="G145" s="3"/>
    </row>
    <row r="146" spans="1:7" ht="18" customHeight="1" x14ac:dyDescent="0.25">
      <c r="A146" s="3">
        <v>85</v>
      </c>
      <c r="B146" s="3"/>
      <c r="C146" s="10"/>
      <c r="D146" s="11"/>
      <c r="E146" s="3"/>
      <c r="F146" s="11"/>
      <c r="G146" s="3"/>
    </row>
    <row r="147" spans="1:7" ht="18" customHeight="1" x14ac:dyDescent="0.25">
      <c r="A147" s="3">
        <v>86</v>
      </c>
      <c r="B147" s="3"/>
      <c r="C147" s="10"/>
      <c r="D147" s="11"/>
      <c r="E147" s="3"/>
      <c r="F147" s="11"/>
      <c r="G147" s="3"/>
    </row>
    <row r="148" spans="1:7" ht="18" customHeight="1" x14ac:dyDescent="0.25">
      <c r="A148" s="3">
        <v>87</v>
      </c>
      <c r="B148" s="3"/>
      <c r="C148" s="10"/>
      <c r="D148" s="11"/>
      <c r="E148" s="3"/>
      <c r="F148" s="11"/>
      <c r="G148" s="3"/>
    </row>
    <row r="149" spans="1:7" ht="18" customHeight="1" x14ac:dyDescent="0.25">
      <c r="A149" s="3">
        <v>88</v>
      </c>
      <c r="B149" s="3"/>
      <c r="C149" s="10"/>
      <c r="D149" s="11"/>
      <c r="E149" s="3"/>
      <c r="F149" s="11"/>
      <c r="G149" s="3"/>
    </row>
    <row r="150" spans="1:7" ht="18" customHeight="1" x14ac:dyDescent="0.25">
      <c r="A150" s="3">
        <v>89</v>
      </c>
      <c r="B150" s="3"/>
      <c r="C150" s="10"/>
      <c r="D150" s="11"/>
      <c r="E150" s="3"/>
      <c r="F150" s="11"/>
      <c r="G150" s="3"/>
    </row>
    <row r="151" spans="1:7" ht="18" customHeight="1" x14ac:dyDescent="0.25">
      <c r="A151" s="3">
        <v>90</v>
      </c>
      <c r="B151" s="3"/>
      <c r="C151" s="10"/>
      <c r="D151" s="11"/>
      <c r="E151" s="3"/>
      <c r="F151" s="11"/>
      <c r="G151" s="3"/>
    </row>
    <row r="152" spans="1:7" ht="18" customHeight="1" x14ac:dyDescent="0.25">
      <c r="A152" s="3">
        <v>91</v>
      </c>
      <c r="B152" s="3"/>
      <c r="C152" s="10"/>
      <c r="D152" s="11"/>
      <c r="E152" s="3"/>
      <c r="F152" s="11"/>
      <c r="G152" s="3"/>
    </row>
    <row r="153" spans="1:7" ht="18" customHeight="1" x14ac:dyDescent="0.25">
      <c r="A153" s="3">
        <v>92</v>
      </c>
      <c r="B153" s="3"/>
      <c r="C153" s="10"/>
      <c r="D153" s="11"/>
      <c r="E153" s="3"/>
      <c r="F153" s="11"/>
      <c r="G153" s="3"/>
    </row>
    <row r="154" spans="1:7" ht="18" customHeight="1" x14ac:dyDescent="0.25">
      <c r="A154" s="3">
        <v>93</v>
      </c>
      <c r="B154" s="3"/>
      <c r="C154" s="10"/>
      <c r="D154" s="11"/>
      <c r="E154" s="3"/>
      <c r="F154" s="11"/>
      <c r="G154" s="3"/>
    </row>
    <row r="155" spans="1:7" ht="18" customHeight="1" x14ac:dyDescent="0.25">
      <c r="A155" s="3">
        <v>94</v>
      </c>
      <c r="B155" s="3"/>
      <c r="C155" s="10"/>
      <c r="D155" s="11"/>
      <c r="E155" s="3"/>
      <c r="F155" s="11"/>
      <c r="G155" s="3"/>
    </row>
    <row r="156" spans="1:7" ht="18" customHeight="1" x14ac:dyDescent="0.25">
      <c r="A156" s="3">
        <v>95</v>
      </c>
      <c r="B156" s="3"/>
      <c r="C156" s="10"/>
      <c r="D156" s="11"/>
      <c r="E156" s="3"/>
      <c r="F156" s="11"/>
      <c r="G156" s="3"/>
    </row>
    <row r="157" spans="1:7" ht="18" customHeight="1" x14ac:dyDescent="0.25">
      <c r="A157" s="3">
        <v>96</v>
      </c>
      <c r="B157" s="3"/>
      <c r="C157" s="10"/>
      <c r="D157" s="11"/>
      <c r="E157" s="3"/>
      <c r="F157" s="11"/>
      <c r="G157" s="3"/>
    </row>
    <row r="158" spans="1:7" ht="18" customHeight="1" x14ac:dyDescent="0.25">
      <c r="A158" s="3">
        <v>97</v>
      </c>
      <c r="B158" s="3"/>
      <c r="C158" s="10"/>
      <c r="D158" s="11"/>
      <c r="E158" s="3"/>
      <c r="F158" s="11"/>
      <c r="G158" s="3"/>
    </row>
    <row r="159" spans="1:7" ht="18" customHeight="1" x14ac:dyDescent="0.25">
      <c r="A159" s="3">
        <v>98</v>
      </c>
      <c r="B159" s="3"/>
      <c r="C159" s="10"/>
      <c r="D159" s="11"/>
      <c r="E159" s="3"/>
      <c r="F159" s="11"/>
      <c r="G159" s="3"/>
    </row>
    <row r="160" spans="1:7" ht="18" customHeight="1" x14ac:dyDescent="0.25">
      <c r="A160" s="3">
        <v>99</v>
      </c>
      <c r="B160" s="3"/>
      <c r="C160" s="10"/>
      <c r="D160" s="11"/>
      <c r="E160" s="3"/>
      <c r="F160" s="11"/>
      <c r="G160" s="3"/>
    </row>
    <row r="161" spans="1:7" ht="18" customHeight="1" x14ac:dyDescent="0.25">
      <c r="A161" s="3">
        <v>100</v>
      </c>
      <c r="B161" s="3"/>
      <c r="C161" s="10"/>
      <c r="D161" s="11"/>
      <c r="E161" s="3"/>
      <c r="F161" s="11"/>
      <c r="G161" s="3"/>
    </row>
    <row r="162" spans="1:7" ht="18" customHeight="1" x14ac:dyDescent="0.25">
      <c r="A162" s="3">
        <v>101</v>
      </c>
      <c r="B162" s="3"/>
      <c r="C162" s="10"/>
      <c r="D162" s="11"/>
      <c r="E162" s="3"/>
      <c r="F162" s="11"/>
      <c r="G162" s="3"/>
    </row>
    <row r="163" spans="1:7" ht="18" customHeight="1" x14ac:dyDescent="0.25">
      <c r="A163" s="3">
        <v>102</v>
      </c>
      <c r="B163" s="3"/>
      <c r="C163" s="10"/>
      <c r="D163" s="11"/>
      <c r="E163" s="3"/>
      <c r="F163" s="11"/>
      <c r="G163" s="3"/>
    </row>
    <row r="164" spans="1:7" ht="18" customHeight="1" x14ac:dyDescent="0.25">
      <c r="A164" s="3">
        <v>103</v>
      </c>
      <c r="B164" s="3"/>
      <c r="C164" s="10"/>
      <c r="D164" s="11"/>
      <c r="E164" s="3"/>
      <c r="F164" s="11"/>
      <c r="G164" s="3"/>
    </row>
    <row r="165" spans="1:7" ht="18" customHeight="1" x14ac:dyDescent="0.25">
      <c r="A165" s="3">
        <v>104</v>
      </c>
      <c r="B165" s="3"/>
      <c r="C165" s="10"/>
      <c r="D165" s="11"/>
      <c r="E165" s="3"/>
      <c r="F165" s="11"/>
      <c r="G165" s="3"/>
    </row>
    <row r="166" spans="1:7" ht="18" customHeight="1" x14ac:dyDescent="0.25">
      <c r="A166" s="3">
        <v>105</v>
      </c>
      <c r="B166" s="3"/>
      <c r="C166" s="10"/>
      <c r="D166" s="11"/>
      <c r="E166" s="3"/>
      <c r="F166" s="11"/>
      <c r="G166" s="3"/>
    </row>
    <row r="167" spans="1:7" ht="18" customHeight="1" x14ac:dyDescent="0.25">
      <c r="A167" s="3">
        <v>106</v>
      </c>
      <c r="B167" s="3"/>
      <c r="C167" s="10"/>
      <c r="D167" s="11"/>
      <c r="E167" s="3"/>
      <c r="F167" s="11"/>
      <c r="G167" s="3"/>
    </row>
    <row r="168" spans="1:7" ht="18" customHeight="1" x14ac:dyDescent="0.25">
      <c r="A168" s="3">
        <v>107</v>
      </c>
      <c r="B168" s="3"/>
      <c r="C168" s="10"/>
      <c r="D168" s="11"/>
      <c r="E168" s="3"/>
      <c r="F168" s="11"/>
      <c r="G168" s="3"/>
    </row>
    <row r="169" spans="1:7" ht="18" customHeight="1" x14ac:dyDescent="0.25">
      <c r="A169" s="3">
        <v>108</v>
      </c>
      <c r="B169" s="3"/>
      <c r="C169" s="10"/>
      <c r="D169" s="11"/>
      <c r="E169" s="3"/>
      <c r="F169" s="11"/>
      <c r="G169" s="3"/>
    </row>
    <row r="170" spans="1:7" ht="18" customHeight="1" x14ac:dyDescent="0.25">
      <c r="A170" s="3">
        <v>109</v>
      </c>
      <c r="B170" s="3"/>
      <c r="C170" s="10"/>
      <c r="D170" s="11"/>
      <c r="E170" s="3"/>
      <c r="F170" s="11"/>
      <c r="G170" s="3"/>
    </row>
    <row r="171" spans="1:7" ht="18" customHeight="1" x14ac:dyDescent="0.25">
      <c r="A171" s="3">
        <v>110</v>
      </c>
      <c r="B171" s="3"/>
      <c r="C171" s="10"/>
      <c r="D171" s="11"/>
      <c r="E171" s="3"/>
      <c r="F171" s="11"/>
      <c r="G171" s="3"/>
    </row>
    <row r="172" spans="1:7" ht="18" customHeight="1" x14ac:dyDescent="0.25">
      <c r="A172" s="3">
        <v>111</v>
      </c>
      <c r="B172" s="3"/>
      <c r="C172" s="10"/>
      <c r="D172" s="11"/>
      <c r="E172" s="3"/>
      <c r="F172" s="11"/>
      <c r="G172" s="3"/>
    </row>
    <row r="173" spans="1:7" ht="18" customHeight="1" x14ac:dyDescent="0.25">
      <c r="A173" s="3">
        <v>112</v>
      </c>
      <c r="B173" s="3"/>
      <c r="C173" s="10"/>
      <c r="D173" s="11"/>
      <c r="E173" s="3"/>
      <c r="F173" s="11"/>
      <c r="G173" s="3"/>
    </row>
    <row r="174" spans="1:7" ht="18" customHeight="1" x14ac:dyDescent="0.25">
      <c r="A174" s="3">
        <v>113</v>
      </c>
      <c r="B174" s="3"/>
      <c r="C174" s="10"/>
      <c r="D174" s="11"/>
      <c r="E174" s="3"/>
      <c r="F174" s="11"/>
      <c r="G174" s="3"/>
    </row>
    <row r="175" spans="1:7" ht="18" customHeight="1" x14ac:dyDescent="0.25">
      <c r="A175" s="3">
        <v>114</v>
      </c>
      <c r="B175" s="3"/>
      <c r="C175" s="10"/>
      <c r="D175" s="11"/>
      <c r="E175" s="3"/>
      <c r="F175" s="11"/>
      <c r="G175" s="3"/>
    </row>
    <row r="176" spans="1:7" ht="18" customHeight="1" x14ac:dyDescent="0.25">
      <c r="A176" s="3">
        <v>115</v>
      </c>
      <c r="B176" s="3"/>
      <c r="C176" s="10"/>
      <c r="D176" s="11"/>
      <c r="E176" s="3"/>
      <c r="F176" s="11"/>
      <c r="G176" s="3"/>
    </row>
    <row r="177" spans="1:7" ht="18" customHeight="1" x14ac:dyDescent="0.25">
      <c r="A177" s="3">
        <v>116</v>
      </c>
      <c r="B177" s="3"/>
      <c r="C177" s="10"/>
      <c r="D177" s="11"/>
      <c r="E177" s="3"/>
      <c r="F177" s="11"/>
      <c r="G177" s="3"/>
    </row>
    <row r="178" spans="1:7" ht="18" customHeight="1" x14ac:dyDescent="0.25">
      <c r="A178" s="3">
        <v>117</v>
      </c>
      <c r="B178" s="3"/>
      <c r="C178" s="10"/>
      <c r="D178" s="11"/>
      <c r="E178" s="3"/>
      <c r="F178" s="11"/>
      <c r="G178" s="3"/>
    </row>
    <row r="179" spans="1:7" ht="18" customHeight="1" x14ac:dyDescent="0.25">
      <c r="A179" s="3">
        <v>118</v>
      </c>
      <c r="B179" s="3"/>
      <c r="C179" s="10"/>
      <c r="D179" s="11"/>
      <c r="E179" s="3"/>
      <c r="F179" s="11"/>
      <c r="G179" s="3"/>
    </row>
    <row r="180" spans="1:7" ht="18" customHeight="1" x14ac:dyDescent="0.25">
      <c r="A180" s="3">
        <v>119</v>
      </c>
      <c r="B180" s="3"/>
      <c r="C180" s="10"/>
      <c r="D180" s="11"/>
      <c r="E180" s="3"/>
      <c r="F180" s="11"/>
      <c r="G180" s="3"/>
    </row>
    <row r="181" spans="1:7" ht="18" customHeight="1" x14ac:dyDescent="0.25">
      <c r="A181" s="3">
        <v>120</v>
      </c>
      <c r="B181" s="3"/>
      <c r="C181" s="10"/>
      <c r="D181" s="11"/>
      <c r="E181" s="3"/>
      <c r="F181" s="11"/>
      <c r="G181" s="3"/>
    </row>
    <row r="182" spans="1:7" ht="33" customHeight="1" x14ac:dyDescent="0.25">
      <c r="A182" s="31" t="str">
        <f>"اجمالى عدد "&amp;COUNTIF(C142:C181,"*")&amp;" شيك بمبلغ"</f>
        <v>اجمالى عدد 0 شيك بمبلغ</v>
      </c>
      <c r="B182" s="32"/>
      <c r="C182" s="32"/>
      <c r="D182" s="33"/>
      <c r="E182" s="13">
        <f>SUM(E141:E181)</f>
        <v>0</v>
      </c>
      <c r="F182" s="29" t="str">
        <f>NoToTxt(E182,"جنيه","قرش")&amp;" لاغير  "</f>
        <v xml:space="preserve">صفر لاغير  </v>
      </c>
      <c r="G182" s="30"/>
    </row>
    <row r="183" spans="1:7" ht="18" customHeight="1" x14ac:dyDescent="0.25">
      <c r="A183" s="23" t="s">
        <v>10013</v>
      </c>
      <c r="B183" s="23"/>
      <c r="C183" s="23"/>
      <c r="D183" s="23"/>
      <c r="E183" s="23"/>
      <c r="F183" s="23"/>
      <c r="G183" s="23"/>
    </row>
    <row r="184" spans="1:7" ht="32.25" customHeight="1" x14ac:dyDescent="0.25">
      <c r="A184" s="24" t="s">
        <v>10014</v>
      </c>
      <c r="B184" s="25"/>
      <c r="C184" s="25"/>
      <c r="D184" s="25"/>
      <c r="E184" s="25"/>
      <c r="F184" s="25"/>
      <c r="G184" s="25"/>
    </row>
    <row r="185" spans="1:7" ht="18" customHeight="1" x14ac:dyDescent="0.25">
      <c r="A185" s="25"/>
      <c r="B185" s="25"/>
      <c r="C185" s="25"/>
      <c r="D185" s="25"/>
      <c r="E185" s="25"/>
      <c r="F185" s="25"/>
      <c r="G185" s="25"/>
    </row>
    <row r="186" spans="1:7" ht="33.75" customHeight="1" x14ac:dyDescent="0.25">
      <c r="A186" s="21" t="str">
        <f>A138</f>
        <v xml:space="preserve"> تابع حافظة شيكات محررة للعملاء طبقاً لموافقة لجنه الائتمان والتمويل المتناهى الصغر المنعقدة في تاريخ </v>
      </c>
      <c r="B186" s="21"/>
      <c r="C186" s="21"/>
      <c r="D186" s="21"/>
      <c r="E186" s="21"/>
      <c r="F186" s="21"/>
      <c r="G186" s="21"/>
    </row>
    <row r="187" spans="1:7" ht="19.5" customHeight="1" x14ac:dyDescent="0.25">
      <c r="A187" s="22" t="str">
        <f>A139</f>
        <v>علي الحساب الجاري رقم / 405033714006  ببنك الأسكندرية فرع اسيوط</v>
      </c>
      <c r="B187" s="22"/>
      <c r="C187" s="22"/>
      <c r="D187" s="22"/>
      <c r="E187" s="22"/>
      <c r="F187" s="22"/>
      <c r="G187" s="22"/>
    </row>
    <row r="188" spans="1:7" ht="30" customHeight="1" x14ac:dyDescent="0.25">
      <c r="A188" s="6" t="s">
        <v>10005</v>
      </c>
      <c r="B188" s="6" t="s">
        <v>10006</v>
      </c>
      <c r="C188" s="9" t="s">
        <v>10007</v>
      </c>
      <c r="D188" s="6" t="s">
        <v>10008</v>
      </c>
      <c r="E188" s="6" t="s">
        <v>10009</v>
      </c>
      <c r="F188" s="6" t="s">
        <v>10010</v>
      </c>
      <c r="G188" s="6" t="s">
        <v>10011</v>
      </c>
    </row>
    <row r="189" spans="1:7" ht="30" customHeight="1" x14ac:dyDescent="0.25">
      <c r="A189" s="31" t="s">
        <v>10594</v>
      </c>
      <c r="B189" s="32"/>
      <c r="C189" s="32"/>
      <c r="D189" s="33"/>
      <c r="E189" s="14">
        <f>E182</f>
        <v>0</v>
      </c>
      <c r="F189" s="29" t="str">
        <f>NoToTxt(E189,"جنيه","قرش")&amp;" لاغير  "</f>
        <v xml:space="preserve">صفر لاغير  </v>
      </c>
      <c r="G189" s="30"/>
    </row>
    <row r="190" spans="1:7" ht="18" customHeight="1" x14ac:dyDescent="0.25">
      <c r="A190" s="3">
        <v>121</v>
      </c>
      <c r="B190" s="3"/>
      <c r="C190" s="10"/>
      <c r="D190" s="3"/>
      <c r="E190" s="3"/>
      <c r="F190" s="11"/>
      <c r="G190" s="3"/>
    </row>
    <row r="191" spans="1:7" ht="18" customHeight="1" x14ac:dyDescent="0.25">
      <c r="A191" s="3">
        <v>122</v>
      </c>
      <c r="B191" s="3"/>
      <c r="C191" s="10"/>
      <c r="D191" s="3"/>
      <c r="E191" s="3"/>
      <c r="F191" s="11"/>
      <c r="G191" s="3"/>
    </row>
    <row r="192" spans="1:7" ht="18" customHeight="1" x14ac:dyDescent="0.25">
      <c r="A192" s="3">
        <v>123</v>
      </c>
      <c r="B192" s="3"/>
      <c r="C192" s="10"/>
      <c r="D192" s="3"/>
      <c r="E192" s="3"/>
      <c r="F192" s="11"/>
      <c r="G192" s="3"/>
    </row>
    <row r="193" spans="1:7" ht="18" customHeight="1" x14ac:dyDescent="0.25">
      <c r="A193" s="3">
        <v>124</v>
      </c>
      <c r="B193" s="3"/>
      <c r="C193" s="10"/>
      <c r="D193" s="3"/>
      <c r="E193" s="3"/>
      <c r="F193" s="11"/>
      <c r="G193" s="3"/>
    </row>
    <row r="194" spans="1:7" ht="18" customHeight="1" x14ac:dyDescent="0.25">
      <c r="A194" s="3">
        <v>125</v>
      </c>
      <c r="B194" s="3"/>
      <c r="C194" s="10"/>
      <c r="D194" s="3"/>
      <c r="E194" s="3"/>
      <c r="F194" s="11"/>
      <c r="G194" s="3"/>
    </row>
    <row r="195" spans="1:7" ht="18" customHeight="1" x14ac:dyDescent="0.25">
      <c r="A195" s="3">
        <v>126</v>
      </c>
      <c r="B195" s="3"/>
      <c r="C195" s="10"/>
      <c r="D195" s="3"/>
      <c r="E195" s="3"/>
      <c r="F195" s="11"/>
      <c r="G195" s="3"/>
    </row>
    <row r="196" spans="1:7" ht="18" customHeight="1" x14ac:dyDescent="0.25">
      <c r="A196" s="3">
        <v>127</v>
      </c>
      <c r="B196" s="3"/>
      <c r="C196" s="10"/>
      <c r="D196" s="3"/>
      <c r="E196" s="3"/>
      <c r="F196" s="11"/>
      <c r="G196" s="3"/>
    </row>
    <row r="197" spans="1:7" ht="18" customHeight="1" x14ac:dyDescent="0.25">
      <c r="A197" s="3">
        <v>128</v>
      </c>
      <c r="B197" s="3"/>
      <c r="C197" s="10"/>
      <c r="D197" s="3"/>
      <c r="E197" s="3"/>
      <c r="F197" s="11"/>
      <c r="G197" s="3"/>
    </row>
    <row r="198" spans="1:7" ht="18" customHeight="1" x14ac:dyDescent="0.25">
      <c r="A198" s="3">
        <v>129</v>
      </c>
      <c r="B198" s="3"/>
      <c r="C198" s="10"/>
      <c r="D198" s="3"/>
      <c r="E198" s="3"/>
      <c r="F198" s="11"/>
      <c r="G198" s="3"/>
    </row>
    <row r="199" spans="1:7" ht="18" customHeight="1" x14ac:dyDescent="0.25">
      <c r="A199" s="3">
        <v>130</v>
      </c>
      <c r="B199" s="3"/>
      <c r="C199" s="10"/>
      <c r="D199" s="3"/>
      <c r="E199" s="3"/>
      <c r="F199" s="11"/>
      <c r="G199" s="3"/>
    </row>
    <row r="200" spans="1:7" ht="18" customHeight="1" x14ac:dyDescent="0.25">
      <c r="A200" s="3">
        <v>131</v>
      </c>
      <c r="B200" s="3"/>
      <c r="C200" s="10"/>
      <c r="D200" s="3"/>
      <c r="E200" s="3"/>
      <c r="F200" s="11"/>
      <c r="G200" s="3"/>
    </row>
    <row r="201" spans="1:7" ht="18" customHeight="1" x14ac:dyDescent="0.25">
      <c r="A201" s="3">
        <v>132</v>
      </c>
      <c r="B201" s="3"/>
      <c r="C201" s="10"/>
      <c r="D201" s="3"/>
      <c r="E201" s="3"/>
      <c r="F201" s="11"/>
      <c r="G201" s="3"/>
    </row>
    <row r="202" spans="1:7" ht="18" customHeight="1" x14ac:dyDescent="0.25">
      <c r="A202" s="3">
        <v>133</v>
      </c>
      <c r="B202" s="3"/>
      <c r="C202" s="10"/>
      <c r="D202" s="3"/>
      <c r="E202" s="3"/>
      <c r="F202" s="11"/>
      <c r="G202" s="3"/>
    </row>
    <row r="203" spans="1:7" ht="18" customHeight="1" x14ac:dyDescent="0.25">
      <c r="A203" s="3">
        <v>134</v>
      </c>
      <c r="B203" s="3"/>
      <c r="C203" s="10"/>
      <c r="D203" s="3"/>
      <c r="E203" s="3"/>
      <c r="F203" s="11"/>
      <c r="G203" s="3"/>
    </row>
    <row r="204" spans="1:7" ht="18" customHeight="1" x14ac:dyDescent="0.25">
      <c r="A204" s="3">
        <v>135</v>
      </c>
      <c r="B204" s="3"/>
      <c r="C204" s="10"/>
      <c r="D204" s="3"/>
      <c r="E204" s="3"/>
      <c r="F204" s="11"/>
      <c r="G204" s="3"/>
    </row>
    <row r="205" spans="1:7" ht="18" customHeight="1" x14ac:dyDescent="0.25">
      <c r="A205" s="3">
        <v>136</v>
      </c>
      <c r="B205" s="3"/>
      <c r="C205" s="10"/>
      <c r="D205" s="3"/>
      <c r="E205" s="3"/>
      <c r="F205" s="11"/>
      <c r="G205" s="3"/>
    </row>
    <row r="206" spans="1:7" ht="18" customHeight="1" x14ac:dyDescent="0.25">
      <c r="A206" s="3">
        <v>137</v>
      </c>
      <c r="B206" s="3"/>
      <c r="C206" s="10"/>
      <c r="D206" s="3"/>
      <c r="E206" s="3"/>
      <c r="F206" s="11"/>
      <c r="G206" s="3"/>
    </row>
    <row r="207" spans="1:7" ht="18" customHeight="1" x14ac:dyDescent="0.25">
      <c r="A207" s="3">
        <v>138</v>
      </c>
      <c r="B207" s="3"/>
      <c r="C207" s="10"/>
      <c r="D207" s="3"/>
      <c r="E207" s="3"/>
      <c r="F207" s="11"/>
      <c r="G207" s="3"/>
    </row>
    <row r="208" spans="1:7" ht="18" customHeight="1" x14ac:dyDescent="0.25">
      <c r="A208" s="3">
        <v>139</v>
      </c>
      <c r="B208" s="3"/>
      <c r="C208" s="10"/>
      <c r="D208" s="3"/>
      <c r="E208" s="3"/>
      <c r="F208" s="11"/>
      <c r="G208" s="3"/>
    </row>
    <row r="209" spans="1:7" ht="18" customHeight="1" x14ac:dyDescent="0.25">
      <c r="A209" s="3">
        <v>140</v>
      </c>
      <c r="B209" s="3"/>
      <c r="C209" s="10"/>
      <c r="D209" s="3"/>
      <c r="E209" s="3"/>
      <c r="F209" s="11"/>
      <c r="G209" s="3"/>
    </row>
    <row r="210" spans="1:7" ht="18" customHeight="1" x14ac:dyDescent="0.25">
      <c r="A210" s="3">
        <v>141</v>
      </c>
      <c r="B210" s="3"/>
      <c r="C210" s="10"/>
      <c r="D210" s="3"/>
      <c r="E210" s="3"/>
      <c r="F210" s="11"/>
      <c r="G210" s="3"/>
    </row>
    <row r="211" spans="1:7" ht="18" customHeight="1" x14ac:dyDescent="0.25">
      <c r="A211" s="3">
        <v>142</v>
      </c>
      <c r="B211" s="3"/>
      <c r="C211" s="10"/>
      <c r="D211" s="3"/>
      <c r="E211" s="3"/>
      <c r="F211" s="11"/>
      <c r="G211" s="3"/>
    </row>
    <row r="212" spans="1:7" ht="18" customHeight="1" x14ac:dyDescent="0.25">
      <c r="A212" s="3">
        <v>143</v>
      </c>
      <c r="B212" s="3"/>
      <c r="C212" s="10"/>
      <c r="D212" s="3"/>
      <c r="E212" s="3"/>
      <c r="F212" s="11"/>
      <c r="G212" s="3"/>
    </row>
    <row r="213" spans="1:7" ht="18" customHeight="1" x14ac:dyDescent="0.25">
      <c r="A213" s="3">
        <v>144</v>
      </c>
      <c r="B213" s="3"/>
      <c r="C213" s="10"/>
      <c r="D213" s="3"/>
      <c r="E213" s="3"/>
      <c r="F213" s="11"/>
      <c r="G213" s="3"/>
    </row>
    <row r="214" spans="1:7" ht="18" customHeight="1" x14ac:dyDescent="0.25">
      <c r="A214" s="3">
        <v>145</v>
      </c>
      <c r="B214" s="3"/>
      <c r="C214" s="10"/>
      <c r="D214" s="3"/>
      <c r="E214" s="3"/>
      <c r="F214" s="11"/>
      <c r="G214" s="3"/>
    </row>
    <row r="215" spans="1:7" ht="18" customHeight="1" x14ac:dyDescent="0.25">
      <c r="A215" s="3">
        <v>146</v>
      </c>
      <c r="B215" s="3"/>
      <c r="C215" s="10"/>
      <c r="D215" s="3"/>
      <c r="E215" s="3"/>
      <c r="F215" s="11"/>
      <c r="G215" s="3"/>
    </row>
    <row r="216" spans="1:7" ht="18" customHeight="1" x14ac:dyDescent="0.25">
      <c r="A216" s="3">
        <v>147</v>
      </c>
      <c r="B216" s="3"/>
      <c r="C216" s="10"/>
      <c r="D216" s="3"/>
      <c r="E216" s="3"/>
      <c r="F216" s="11"/>
      <c r="G216" s="3"/>
    </row>
    <row r="217" spans="1:7" ht="18" customHeight="1" x14ac:dyDescent="0.25">
      <c r="A217" s="3">
        <v>148</v>
      </c>
      <c r="B217" s="3"/>
      <c r="C217" s="10"/>
      <c r="D217" s="3"/>
      <c r="E217" s="3"/>
      <c r="F217" s="11"/>
      <c r="G217" s="3"/>
    </row>
    <row r="218" spans="1:7" ht="18" customHeight="1" x14ac:dyDescent="0.25">
      <c r="A218" s="3">
        <v>149</v>
      </c>
      <c r="B218" s="3"/>
      <c r="C218" s="10"/>
      <c r="D218" s="3"/>
      <c r="E218" s="3"/>
      <c r="F218" s="11"/>
      <c r="G218" s="3"/>
    </row>
    <row r="219" spans="1:7" ht="18" customHeight="1" x14ac:dyDescent="0.25">
      <c r="A219" s="3">
        <v>150</v>
      </c>
      <c r="B219" s="3"/>
      <c r="C219" s="10"/>
      <c r="D219" s="3"/>
      <c r="E219" s="3"/>
      <c r="F219" s="11"/>
      <c r="G219" s="3"/>
    </row>
    <row r="220" spans="1:7" ht="18" customHeight="1" x14ac:dyDescent="0.25">
      <c r="A220" s="3">
        <v>151</v>
      </c>
      <c r="B220" s="3"/>
      <c r="C220" s="10"/>
      <c r="D220" s="3"/>
      <c r="E220" s="3"/>
      <c r="F220" s="11"/>
      <c r="G220" s="3"/>
    </row>
    <row r="221" spans="1:7" ht="18" customHeight="1" x14ac:dyDescent="0.25">
      <c r="A221" s="3">
        <v>152</v>
      </c>
      <c r="B221" s="3"/>
      <c r="C221" s="10"/>
      <c r="D221" s="3"/>
      <c r="E221" s="3"/>
      <c r="F221" s="11"/>
      <c r="G221" s="3"/>
    </row>
    <row r="222" spans="1:7" ht="18" customHeight="1" x14ac:dyDescent="0.25">
      <c r="A222" s="3">
        <v>153</v>
      </c>
      <c r="B222" s="3"/>
      <c r="C222" s="10"/>
      <c r="D222" s="3"/>
      <c r="E222" s="3"/>
      <c r="F222" s="11"/>
      <c r="G222" s="3"/>
    </row>
    <row r="223" spans="1:7" ht="18" customHeight="1" x14ac:dyDescent="0.25">
      <c r="A223" s="3">
        <v>154</v>
      </c>
      <c r="B223" s="3"/>
      <c r="C223" s="10"/>
      <c r="D223" s="3"/>
      <c r="E223" s="3"/>
      <c r="F223" s="11"/>
      <c r="G223" s="3"/>
    </row>
    <row r="224" spans="1:7" ht="18" customHeight="1" x14ac:dyDescent="0.25">
      <c r="A224" s="3">
        <v>155</v>
      </c>
      <c r="B224" s="3"/>
      <c r="C224" s="10"/>
      <c r="D224" s="3"/>
      <c r="E224" s="3"/>
      <c r="F224" s="11"/>
      <c r="G224" s="3"/>
    </row>
    <row r="225" spans="1:7" ht="18" customHeight="1" x14ac:dyDescent="0.25">
      <c r="A225" s="3">
        <v>156</v>
      </c>
      <c r="B225" s="3"/>
      <c r="C225" s="10"/>
      <c r="D225" s="3"/>
      <c r="E225" s="3"/>
      <c r="F225" s="11"/>
      <c r="G225" s="3"/>
    </row>
    <row r="226" spans="1:7" ht="18" customHeight="1" x14ac:dyDescent="0.25">
      <c r="A226" s="3">
        <v>157</v>
      </c>
      <c r="B226" s="3"/>
      <c r="C226" s="10"/>
      <c r="D226" s="3"/>
      <c r="E226" s="3"/>
      <c r="F226" s="11"/>
      <c r="G226" s="3"/>
    </row>
    <row r="227" spans="1:7" ht="18" customHeight="1" x14ac:dyDescent="0.25">
      <c r="A227" s="3">
        <v>158</v>
      </c>
      <c r="B227" s="3"/>
      <c r="C227" s="10"/>
      <c r="D227" s="3"/>
      <c r="E227" s="3"/>
      <c r="F227" s="11"/>
      <c r="G227" s="3"/>
    </row>
    <row r="228" spans="1:7" ht="18" customHeight="1" x14ac:dyDescent="0.25">
      <c r="A228" s="3">
        <v>159</v>
      </c>
      <c r="B228" s="3"/>
      <c r="C228" s="10"/>
      <c r="D228" s="3"/>
      <c r="E228" s="3"/>
      <c r="F228" s="11"/>
      <c r="G228" s="3"/>
    </row>
    <row r="229" spans="1:7" ht="18" customHeight="1" x14ac:dyDescent="0.25">
      <c r="A229" s="3">
        <v>160</v>
      </c>
      <c r="B229" s="3"/>
      <c r="C229" s="10"/>
      <c r="D229" s="3"/>
      <c r="E229" s="3"/>
      <c r="F229" s="11"/>
      <c r="G229" s="3"/>
    </row>
    <row r="230" spans="1:7" ht="33" customHeight="1" x14ac:dyDescent="0.25">
      <c r="A230" s="31" t="str">
        <f>"اجمالى عدد "&amp;COUNTIF(C190:C229,"*")&amp;" شيك بمبلغ"</f>
        <v>اجمالى عدد 0 شيك بمبلغ</v>
      </c>
      <c r="B230" s="32"/>
      <c r="C230" s="32"/>
      <c r="D230" s="33"/>
      <c r="E230" s="13">
        <f>SUM(E189:E229)</f>
        <v>0</v>
      </c>
      <c r="F230" s="29" t="str">
        <f>NoToTxt(E230,"جنيه","قرش")&amp;" لاغير  "</f>
        <v xml:space="preserve">صفر لاغير  </v>
      </c>
      <c r="G230" s="30"/>
    </row>
    <row r="231" spans="1:7" ht="18" customHeight="1" x14ac:dyDescent="0.25">
      <c r="A231" s="23" t="s">
        <v>10013</v>
      </c>
      <c r="B231" s="23"/>
      <c r="C231" s="23"/>
      <c r="D231" s="23"/>
      <c r="E231" s="23"/>
      <c r="F231" s="23"/>
      <c r="G231" s="23"/>
    </row>
    <row r="232" spans="1:7" ht="32.25" customHeight="1" x14ac:dyDescent="0.25">
      <c r="A232" s="24" t="s">
        <v>10014</v>
      </c>
      <c r="B232" s="25"/>
      <c r="C232" s="25"/>
      <c r="D232" s="25"/>
      <c r="E232" s="25"/>
      <c r="F232" s="25"/>
      <c r="G232" s="25"/>
    </row>
    <row r="233" spans="1:7" ht="18" customHeight="1" x14ac:dyDescent="0.25">
      <c r="A233" s="25"/>
      <c r="B233" s="25"/>
      <c r="C233" s="25"/>
      <c r="D233" s="25"/>
      <c r="E233" s="25"/>
      <c r="F233" s="25"/>
      <c r="G233" s="25"/>
    </row>
    <row r="234" spans="1:7" ht="33.75" customHeight="1" x14ac:dyDescent="0.25">
      <c r="A234" s="21" t="str">
        <f>A186</f>
        <v xml:space="preserve"> تابع حافظة شيكات محررة للعملاء طبقاً لموافقة لجنه الائتمان والتمويل المتناهى الصغر المنعقدة في تاريخ </v>
      </c>
      <c r="B234" s="21"/>
      <c r="C234" s="21"/>
      <c r="D234" s="21"/>
      <c r="E234" s="21"/>
      <c r="F234" s="21"/>
      <c r="G234" s="21"/>
    </row>
    <row r="235" spans="1:7" ht="19.5" customHeight="1" x14ac:dyDescent="0.25">
      <c r="A235" s="22" t="str">
        <f>A187</f>
        <v>علي الحساب الجاري رقم / 405033714006  ببنك الأسكندرية فرع اسيوط</v>
      </c>
      <c r="B235" s="22"/>
      <c r="C235" s="22"/>
      <c r="D235" s="22"/>
      <c r="E235" s="22"/>
      <c r="F235" s="22"/>
      <c r="G235" s="22"/>
    </row>
    <row r="236" spans="1:7" ht="30" customHeight="1" x14ac:dyDescent="0.25">
      <c r="A236" s="6" t="s">
        <v>10005</v>
      </c>
      <c r="B236" s="6" t="s">
        <v>10006</v>
      </c>
      <c r="C236" s="9" t="s">
        <v>10007</v>
      </c>
      <c r="D236" s="6" t="s">
        <v>10008</v>
      </c>
      <c r="E236" s="6" t="s">
        <v>10009</v>
      </c>
      <c r="F236" s="6" t="s">
        <v>10010</v>
      </c>
      <c r="G236" s="6" t="s">
        <v>10011</v>
      </c>
    </row>
    <row r="237" spans="1:7" ht="30" customHeight="1" x14ac:dyDescent="0.25">
      <c r="A237" s="31" t="s">
        <v>10595</v>
      </c>
      <c r="B237" s="32"/>
      <c r="C237" s="32"/>
      <c r="D237" s="33"/>
      <c r="E237" s="14">
        <f>E230</f>
        <v>0</v>
      </c>
      <c r="F237" s="29" t="str">
        <f>NoToTxt(E237,"جنيه","قرش")&amp;" لاغير  "</f>
        <v xml:space="preserve">صفر لاغير  </v>
      </c>
      <c r="G237" s="30"/>
    </row>
    <row r="238" spans="1:7" ht="18" customHeight="1" x14ac:dyDescent="0.25">
      <c r="A238" s="3">
        <v>161</v>
      </c>
      <c r="B238" s="3"/>
      <c r="C238" s="10"/>
      <c r="D238" s="3"/>
      <c r="E238" s="3"/>
      <c r="F238" s="11"/>
      <c r="G238" s="3"/>
    </row>
    <row r="239" spans="1:7" ht="18" customHeight="1" x14ac:dyDescent="0.25">
      <c r="A239" s="3">
        <v>162</v>
      </c>
      <c r="B239" s="3"/>
      <c r="C239" s="10"/>
      <c r="D239" s="3"/>
      <c r="E239" s="3"/>
      <c r="F239" s="11"/>
      <c r="G239" s="3"/>
    </row>
    <row r="240" spans="1:7" ht="18" customHeight="1" x14ac:dyDescent="0.25">
      <c r="A240" s="3">
        <v>163</v>
      </c>
      <c r="B240" s="3"/>
      <c r="C240" s="10"/>
      <c r="D240" s="3"/>
      <c r="E240" s="3"/>
      <c r="F240" s="11"/>
      <c r="G240" s="3"/>
    </row>
    <row r="241" spans="1:7" ht="18" customHeight="1" x14ac:dyDescent="0.25">
      <c r="A241" s="3">
        <v>164</v>
      </c>
      <c r="B241" s="3"/>
      <c r="C241" s="10"/>
      <c r="D241" s="3"/>
      <c r="E241" s="3"/>
      <c r="F241" s="11"/>
      <c r="G241" s="3"/>
    </row>
    <row r="242" spans="1:7" ht="18" customHeight="1" x14ac:dyDescent="0.25">
      <c r="A242" s="3">
        <v>165</v>
      </c>
      <c r="B242" s="3"/>
      <c r="C242" s="10"/>
      <c r="D242" s="3"/>
      <c r="E242" s="3"/>
      <c r="F242" s="11"/>
      <c r="G242" s="3"/>
    </row>
    <row r="243" spans="1:7" ht="18" customHeight="1" x14ac:dyDescent="0.25">
      <c r="A243" s="3">
        <v>166</v>
      </c>
      <c r="B243" s="3"/>
      <c r="C243" s="10"/>
      <c r="D243" s="3"/>
      <c r="E243" s="3"/>
      <c r="F243" s="11"/>
      <c r="G243" s="3"/>
    </row>
    <row r="244" spans="1:7" ht="18" customHeight="1" x14ac:dyDescent="0.25">
      <c r="A244" s="3">
        <v>167</v>
      </c>
      <c r="B244" s="3"/>
      <c r="C244" s="10"/>
      <c r="D244" s="3"/>
      <c r="E244" s="3"/>
      <c r="F244" s="11"/>
      <c r="G244" s="3"/>
    </row>
    <row r="245" spans="1:7" ht="18" customHeight="1" x14ac:dyDescent="0.25">
      <c r="A245" s="3">
        <v>168</v>
      </c>
      <c r="B245" s="3"/>
      <c r="C245" s="10"/>
      <c r="D245" s="3"/>
      <c r="E245" s="3"/>
      <c r="F245" s="11"/>
      <c r="G245" s="3"/>
    </row>
    <row r="246" spans="1:7" ht="18" customHeight="1" x14ac:dyDescent="0.25">
      <c r="A246" s="3">
        <v>169</v>
      </c>
      <c r="B246" s="3"/>
      <c r="C246" s="10"/>
      <c r="D246" s="3"/>
      <c r="E246" s="3"/>
      <c r="F246" s="11"/>
      <c r="G246" s="3"/>
    </row>
    <row r="247" spans="1:7" ht="18" customHeight="1" x14ac:dyDescent="0.25">
      <c r="A247" s="3">
        <v>170</v>
      </c>
      <c r="B247" s="3"/>
      <c r="C247" s="10"/>
      <c r="D247" s="3"/>
      <c r="E247" s="3"/>
      <c r="F247" s="11"/>
      <c r="G247" s="3"/>
    </row>
    <row r="248" spans="1:7" ht="18" customHeight="1" x14ac:dyDescent="0.25">
      <c r="A248" s="3">
        <v>171</v>
      </c>
      <c r="B248" s="3"/>
      <c r="C248" s="10"/>
      <c r="D248" s="3"/>
      <c r="E248" s="3"/>
      <c r="F248" s="11"/>
      <c r="G248" s="3"/>
    </row>
    <row r="249" spans="1:7" ht="18" customHeight="1" x14ac:dyDescent="0.25">
      <c r="A249" s="3">
        <v>172</v>
      </c>
      <c r="B249" s="3"/>
      <c r="C249" s="10"/>
      <c r="D249" s="3"/>
      <c r="E249" s="3"/>
      <c r="F249" s="11"/>
      <c r="G249" s="3"/>
    </row>
    <row r="250" spans="1:7" ht="18" customHeight="1" x14ac:dyDescent="0.25">
      <c r="A250" s="3">
        <v>173</v>
      </c>
      <c r="B250" s="3"/>
      <c r="C250" s="10"/>
      <c r="D250" s="3"/>
      <c r="E250" s="3"/>
      <c r="F250" s="11"/>
      <c r="G250" s="3"/>
    </row>
    <row r="251" spans="1:7" ht="18" customHeight="1" x14ac:dyDescent="0.25">
      <c r="A251" s="3">
        <v>174</v>
      </c>
      <c r="B251" s="3"/>
      <c r="C251" s="10"/>
      <c r="D251" s="3"/>
      <c r="E251" s="3"/>
      <c r="F251" s="11"/>
      <c r="G251" s="3"/>
    </row>
    <row r="252" spans="1:7" ht="18" customHeight="1" x14ac:dyDescent="0.25">
      <c r="A252" s="3">
        <v>175</v>
      </c>
      <c r="B252" s="3"/>
      <c r="C252" s="10"/>
      <c r="D252" s="3"/>
      <c r="E252" s="3"/>
      <c r="F252" s="11"/>
      <c r="G252" s="3"/>
    </row>
    <row r="253" spans="1:7" ht="18" customHeight="1" x14ac:dyDescent="0.25">
      <c r="A253" s="3">
        <v>176</v>
      </c>
      <c r="B253" s="3"/>
      <c r="C253" s="10"/>
      <c r="D253" s="3"/>
      <c r="E253" s="3"/>
      <c r="F253" s="11"/>
      <c r="G253" s="3"/>
    </row>
    <row r="254" spans="1:7" ht="18" customHeight="1" x14ac:dyDescent="0.25">
      <c r="A254" s="3">
        <v>177</v>
      </c>
      <c r="B254" s="3"/>
      <c r="C254" s="10"/>
      <c r="D254" s="3"/>
      <c r="E254" s="3"/>
      <c r="F254" s="11"/>
      <c r="G254" s="3"/>
    </row>
    <row r="255" spans="1:7" ht="18" customHeight="1" x14ac:dyDescent="0.25">
      <c r="A255" s="3">
        <v>178</v>
      </c>
      <c r="B255" s="3"/>
      <c r="C255" s="10"/>
      <c r="D255" s="3"/>
      <c r="E255" s="3"/>
      <c r="F255" s="11"/>
      <c r="G255" s="3"/>
    </row>
    <row r="256" spans="1:7" ht="18" customHeight="1" x14ac:dyDescent="0.25">
      <c r="A256" s="3">
        <v>179</v>
      </c>
      <c r="B256" s="3"/>
      <c r="C256" s="10"/>
      <c r="D256" s="3"/>
      <c r="E256" s="3"/>
      <c r="F256" s="11"/>
      <c r="G256" s="3"/>
    </row>
    <row r="257" spans="1:7" ht="18" customHeight="1" x14ac:dyDescent="0.25">
      <c r="A257" s="3">
        <v>180</v>
      </c>
      <c r="B257" s="3"/>
      <c r="C257" s="10"/>
      <c r="D257" s="3"/>
      <c r="E257" s="3"/>
      <c r="F257" s="11"/>
      <c r="G257" s="3"/>
    </row>
    <row r="258" spans="1:7" ht="18" customHeight="1" x14ac:dyDescent="0.25">
      <c r="A258" s="3">
        <v>181</v>
      </c>
      <c r="B258" s="3"/>
      <c r="C258" s="10"/>
      <c r="D258" s="3"/>
      <c r="E258" s="3"/>
      <c r="F258" s="11"/>
      <c r="G258" s="3"/>
    </row>
    <row r="259" spans="1:7" ht="18" customHeight="1" x14ac:dyDescent="0.25">
      <c r="A259" s="3">
        <v>182</v>
      </c>
      <c r="B259" s="3"/>
      <c r="C259" s="10"/>
      <c r="D259" s="3"/>
      <c r="E259" s="3"/>
      <c r="F259" s="11"/>
      <c r="G259" s="3"/>
    </row>
    <row r="260" spans="1:7" ht="18" customHeight="1" x14ac:dyDescent="0.25">
      <c r="A260" s="3">
        <v>183</v>
      </c>
      <c r="B260" s="3"/>
      <c r="C260" s="10"/>
      <c r="D260" s="3"/>
      <c r="E260" s="3"/>
      <c r="F260" s="11"/>
      <c r="G260" s="3"/>
    </row>
    <row r="261" spans="1:7" ht="18" customHeight="1" x14ac:dyDescent="0.25">
      <c r="A261" s="3">
        <v>184</v>
      </c>
      <c r="B261" s="3"/>
      <c r="C261" s="10"/>
      <c r="D261" s="3"/>
      <c r="E261" s="3"/>
      <c r="F261" s="11"/>
      <c r="G261" s="3"/>
    </row>
    <row r="262" spans="1:7" ht="18" customHeight="1" x14ac:dyDescent="0.25">
      <c r="A262" s="3">
        <v>185</v>
      </c>
      <c r="B262" s="3"/>
      <c r="C262" s="10"/>
      <c r="D262" s="3"/>
      <c r="E262" s="3"/>
      <c r="F262" s="11"/>
      <c r="G262" s="3"/>
    </row>
    <row r="263" spans="1:7" ht="18" customHeight="1" x14ac:dyDescent="0.25">
      <c r="A263" s="3">
        <v>186</v>
      </c>
      <c r="B263" s="3"/>
      <c r="C263" s="10"/>
      <c r="D263" s="3"/>
      <c r="E263" s="3"/>
      <c r="F263" s="11"/>
      <c r="G263" s="3"/>
    </row>
    <row r="264" spans="1:7" ht="18" customHeight="1" x14ac:dyDescent="0.25">
      <c r="A264" s="3">
        <v>187</v>
      </c>
      <c r="B264" s="3"/>
      <c r="C264" s="10"/>
      <c r="D264" s="3"/>
      <c r="E264" s="3"/>
      <c r="F264" s="11"/>
      <c r="G264" s="3"/>
    </row>
    <row r="265" spans="1:7" ht="18" customHeight="1" x14ac:dyDescent="0.25">
      <c r="A265" s="3">
        <v>188</v>
      </c>
      <c r="B265" s="3"/>
      <c r="C265" s="10"/>
      <c r="D265" s="3"/>
      <c r="E265" s="3"/>
      <c r="F265" s="11"/>
      <c r="G265" s="3"/>
    </row>
    <row r="266" spans="1:7" ht="18" customHeight="1" x14ac:dyDescent="0.25">
      <c r="A266" s="3">
        <v>189</v>
      </c>
      <c r="B266" s="3"/>
      <c r="C266" s="10"/>
      <c r="D266" s="3"/>
      <c r="E266" s="3"/>
      <c r="F266" s="11"/>
      <c r="G266" s="3"/>
    </row>
    <row r="267" spans="1:7" ht="18" customHeight="1" x14ac:dyDescent="0.25">
      <c r="A267" s="3">
        <v>190</v>
      </c>
      <c r="B267" s="3"/>
      <c r="C267" s="10"/>
      <c r="D267" s="3"/>
      <c r="E267" s="3"/>
      <c r="F267" s="11"/>
      <c r="G267" s="3"/>
    </row>
    <row r="268" spans="1:7" ht="18" customHeight="1" x14ac:dyDescent="0.25">
      <c r="A268" s="3">
        <v>191</v>
      </c>
      <c r="B268" s="3"/>
      <c r="C268" s="10"/>
      <c r="D268" s="3"/>
      <c r="E268" s="3"/>
      <c r="F268" s="11"/>
      <c r="G268" s="3"/>
    </row>
    <row r="269" spans="1:7" ht="18" customHeight="1" x14ac:dyDescent="0.25">
      <c r="A269" s="3">
        <v>192</v>
      </c>
      <c r="B269" s="3"/>
      <c r="C269" s="10"/>
      <c r="D269" s="3"/>
      <c r="E269" s="3"/>
      <c r="F269" s="11"/>
      <c r="G269" s="3"/>
    </row>
    <row r="270" spans="1:7" ht="18" customHeight="1" x14ac:dyDescent="0.25">
      <c r="A270" s="3">
        <v>193</v>
      </c>
      <c r="B270" s="3"/>
      <c r="C270" s="10"/>
      <c r="D270" s="3"/>
      <c r="E270" s="3"/>
      <c r="F270" s="11"/>
      <c r="G270" s="3"/>
    </row>
    <row r="271" spans="1:7" ht="18" customHeight="1" x14ac:dyDescent="0.25">
      <c r="A271" s="3">
        <v>194</v>
      </c>
      <c r="B271" s="3"/>
      <c r="C271" s="10"/>
      <c r="D271" s="3"/>
      <c r="E271" s="3"/>
      <c r="F271" s="11"/>
      <c r="G271" s="3"/>
    </row>
    <row r="272" spans="1:7" ht="18" customHeight="1" x14ac:dyDescent="0.25">
      <c r="A272" s="3">
        <v>195</v>
      </c>
      <c r="B272" s="3"/>
      <c r="C272" s="10"/>
      <c r="D272" s="3"/>
      <c r="E272" s="3"/>
      <c r="F272" s="11"/>
      <c r="G272" s="3"/>
    </row>
    <row r="273" spans="1:7" ht="18" customHeight="1" x14ac:dyDescent="0.25">
      <c r="A273" s="3">
        <v>196</v>
      </c>
      <c r="B273" s="3"/>
      <c r="C273" s="10"/>
      <c r="D273" s="3"/>
      <c r="E273" s="3"/>
      <c r="F273" s="11"/>
      <c r="G273" s="3"/>
    </row>
    <row r="274" spans="1:7" ht="18" customHeight="1" x14ac:dyDescent="0.25">
      <c r="A274" s="3">
        <v>197</v>
      </c>
      <c r="B274" s="3"/>
      <c r="C274" s="10"/>
      <c r="D274" s="3"/>
      <c r="E274" s="3"/>
      <c r="F274" s="11"/>
      <c r="G274" s="3"/>
    </row>
    <row r="275" spans="1:7" ht="18" customHeight="1" x14ac:dyDescent="0.25">
      <c r="A275" s="3">
        <v>198</v>
      </c>
      <c r="B275" s="3"/>
      <c r="C275" s="10"/>
      <c r="D275" s="3"/>
      <c r="E275" s="3"/>
      <c r="F275" s="11"/>
      <c r="G275" s="3"/>
    </row>
    <row r="276" spans="1:7" ht="18" customHeight="1" x14ac:dyDescent="0.25">
      <c r="A276" s="3">
        <v>199</v>
      </c>
      <c r="B276" s="3"/>
      <c r="C276" s="10"/>
      <c r="D276" s="3"/>
      <c r="E276" s="3"/>
      <c r="F276" s="11"/>
      <c r="G276" s="3"/>
    </row>
    <row r="277" spans="1:7" ht="18" customHeight="1" x14ac:dyDescent="0.25">
      <c r="A277" s="3">
        <v>200</v>
      </c>
      <c r="B277" s="3"/>
      <c r="C277" s="10"/>
      <c r="D277" s="3"/>
      <c r="E277" s="3"/>
      <c r="F277" s="11"/>
      <c r="G277" s="3"/>
    </row>
    <row r="278" spans="1:7" ht="33" customHeight="1" x14ac:dyDescent="0.25">
      <c r="A278" s="31" t="str">
        <f>"اجمالى عدد "&amp;COUNTIF(C238:C277,"*")&amp;" شيك بمبلغ"</f>
        <v>اجمالى عدد 0 شيك بمبلغ</v>
      </c>
      <c r="B278" s="32"/>
      <c r="C278" s="32"/>
      <c r="D278" s="33"/>
      <c r="E278" s="13">
        <f>SUM(E237:E277)</f>
        <v>0</v>
      </c>
      <c r="F278" s="29" t="str">
        <f>NoToTxt(E278,"جنيه","قرش")&amp;" لاغير  "</f>
        <v xml:space="preserve">صفر لاغير  </v>
      </c>
      <c r="G278" s="30"/>
    </row>
    <row r="279" spans="1:7" ht="18" customHeight="1" x14ac:dyDescent="0.25">
      <c r="A279" s="23" t="s">
        <v>10013</v>
      </c>
      <c r="B279" s="23"/>
      <c r="C279" s="23"/>
      <c r="D279" s="23"/>
      <c r="E279" s="23"/>
      <c r="F279" s="23"/>
      <c r="G279" s="23"/>
    </row>
    <row r="280" spans="1:7" ht="32.25" customHeight="1" x14ac:dyDescent="0.25">
      <c r="A280" s="24" t="s">
        <v>10014</v>
      </c>
      <c r="B280" s="25"/>
      <c r="C280" s="25"/>
      <c r="D280" s="25"/>
      <c r="E280" s="25"/>
      <c r="F280" s="25"/>
      <c r="G280" s="25"/>
    </row>
    <row r="281" spans="1:7" ht="18" customHeight="1" x14ac:dyDescent="0.25">
      <c r="A281" s="25"/>
      <c r="B281" s="25"/>
      <c r="C281" s="25"/>
      <c r="D281" s="25"/>
      <c r="E281" s="25"/>
      <c r="F281" s="25"/>
      <c r="G281" s="25"/>
    </row>
    <row r="282" spans="1:7" ht="33.75" customHeight="1" x14ac:dyDescent="0.25">
      <c r="A282" s="21" t="str">
        <f>A234</f>
        <v xml:space="preserve"> تابع حافظة شيكات محررة للعملاء طبقاً لموافقة لجنه الائتمان والتمويل المتناهى الصغر المنعقدة في تاريخ </v>
      </c>
      <c r="B282" s="21"/>
      <c r="C282" s="21"/>
      <c r="D282" s="21"/>
      <c r="E282" s="21"/>
      <c r="F282" s="21"/>
      <c r="G282" s="21"/>
    </row>
    <row r="283" spans="1:7" ht="19.5" customHeight="1" x14ac:dyDescent="0.25">
      <c r="A283" s="22" t="str">
        <f>A235</f>
        <v>علي الحساب الجاري رقم / 405033714006  ببنك الأسكندرية فرع اسيوط</v>
      </c>
      <c r="B283" s="22"/>
      <c r="C283" s="22"/>
      <c r="D283" s="22"/>
      <c r="E283" s="22"/>
      <c r="F283" s="22"/>
      <c r="G283" s="22"/>
    </row>
    <row r="284" spans="1:7" ht="30" customHeight="1" x14ac:dyDescent="0.25">
      <c r="A284" s="6" t="s">
        <v>10005</v>
      </c>
      <c r="B284" s="6" t="s">
        <v>10006</v>
      </c>
      <c r="C284" s="9" t="s">
        <v>10007</v>
      </c>
      <c r="D284" s="6" t="s">
        <v>10008</v>
      </c>
      <c r="E284" s="6" t="s">
        <v>10009</v>
      </c>
      <c r="F284" s="6" t="s">
        <v>10010</v>
      </c>
      <c r="G284" s="6" t="s">
        <v>10011</v>
      </c>
    </row>
    <row r="285" spans="1:7" ht="30" customHeight="1" x14ac:dyDescent="0.25">
      <c r="A285" s="31" t="s">
        <v>10596</v>
      </c>
      <c r="B285" s="32"/>
      <c r="C285" s="32"/>
      <c r="D285" s="33"/>
      <c r="E285" s="14">
        <f>E278</f>
        <v>0</v>
      </c>
      <c r="F285" s="29" t="str">
        <f>NoToTxt(E285,"جنيه","قرش")&amp;" لاغير  "</f>
        <v xml:space="preserve">صفر لاغير  </v>
      </c>
      <c r="G285" s="30"/>
    </row>
    <row r="286" spans="1:7" ht="18" customHeight="1" x14ac:dyDescent="0.25">
      <c r="A286" s="3">
        <v>201</v>
      </c>
      <c r="B286" s="3"/>
      <c r="C286" s="10"/>
      <c r="D286" s="3"/>
      <c r="E286" s="3"/>
      <c r="F286" s="3"/>
      <c r="G286" s="3"/>
    </row>
    <row r="287" spans="1:7" ht="18" customHeight="1" x14ac:dyDescent="0.25">
      <c r="A287" s="3">
        <v>202</v>
      </c>
      <c r="B287" s="3"/>
      <c r="C287" s="10"/>
      <c r="D287" s="3"/>
      <c r="E287" s="3"/>
      <c r="F287" s="3"/>
      <c r="G287" s="3"/>
    </row>
    <row r="288" spans="1:7" ht="18" customHeight="1" x14ac:dyDescent="0.25">
      <c r="A288" s="3">
        <v>203</v>
      </c>
      <c r="B288" s="3"/>
      <c r="C288" s="10"/>
      <c r="D288" s="3"/>
      <c r="E288" s="3"/>
      <c r="F288" s="3"/>
      <c r="G288" s="3"/>
    </row>
    <row r="289" spans="1:7" ht="18" customHeight="1" x14ac:dyDescent="0.25">
      <c r="A289" s="3">
        <v>204</v>
      </c>
      <c r="B289" s="3"/>
      <c r="C289" s="10"/>
      <c r="D289" s="3"/>
      <c r="E289" s="3"/>
      <c r="F289" s="3"/>
      <c r="G289" s="3"/>
    </row>
    <row r="290" spans="1:7" ht="18" customHeight="1" x14ac:dyDescent="0.25">
      <c r="A290" s="3">
        <v>205</v>
      </c>
      <c r="B290" s="3"/>
      <c r="C290" s="10"/>
      <c r="D290" s="3"/>
      <c r="E290" s="3"/>
      <c r="F290" s="3"/>
      <c r="G290" s="3"/>
    </row>
    <row r="291" spans="1:7" ht="18" customHeight="1" x14ac:dyDescent="0.25">
      <c r="A291" s="3">
        <v>206</v>
      </c>
      <c r="B291" s="3"/>
      <c r="C291" s="10"/>
      <c r="D291" s="3"/>
      <c r="E291" s="3"/>
      <c r="F291" s="3"/>
      <c r="G291" s="3"/>
    </row>
    <row r="292" spans="1:7" ht="18" customHeight="1" x14ac:dyDescent="0.25">
      <c r="A292" s="3">
        <v>207</v>
      </c>
      <c r="B292" s="3"/>
      <c r="C292" s="10"/>
      <c r="D292" s="3"/>
      <c r="E292" s="3"/>
      <c r="F292" s="3"/>
      <c r="G292" s="3"/>
    </row>
    <row r="293" spans="1:7" ht="18" customHeight="1" x14ac:dyDescent="0.25">
      <c r="A293" s="3">
        <v>208</v>
      </c>
      <c r="B293" s="3"/>
      <c r="C293" s="10"/>
      <c r="D293" s="3"/>
      <c r="E293" s="3"/>
      <c r="F293" s="3"/>
      <c r="G293" s="3"/>
    </row>
    <row r="294" spans="1:7" ht="18" customHeight="1" x14ac:dyDescent="0.25">
      <c r="A294" s="3">
        <v>209</v>
      </c>
      <c r="B294" s="3"/>
      <c r="C294" s="10"/>
      <c r="D294" s="3"/>
      <c r="E294" s="3"/>
      <c r="F294" s="3"/>
      <c r="G294" s="3"/>
    </row>
    <row r="295" spans="1:7" ht="18" customHeight="1" x14ac:dyDescent="0.25">
      <c r="A295" s="3">
        <v>210</v>
      </c>
      <c r="B295" s="3"/>
      <c r="C295" s="10"/>
      <c r="D295" s="3"/>
      <c r="E295" s="3"/>
      <c r="F295" s="3"/>
      <c r="G295" s="3"/>
    </row>
    <row r="296" spans="1:7" ht="18" customHeight="1" x14ac:dyDescent="0.25">
      <c r="A296" s="3">
        <v>211</v>
      </c>
      <c r="B296" s="3"/>
      <c r="C296" s="10"/>
      <c r="D296" s="3"/>
      <c r="E296" s="3"/>
      <c r="F296" s="3"/>
      <c r="G296" s="3"/>
    </row>
    <row r="297" spans="1:7" ht="18" customHeight="1" x14ac:dyDescent="0.25">
      <c r="A297" s="3">
        <v>212</v>
      </c>
      <c r="B297" s="3"/>
      <c r="C297" s="10"/>
      <c r="D297" s="3"/>
      <c r="E297" s="3"/>
      <c r="F297" s="3"/>
      <c r="G297" s="3"/>
    </row>
    <row r="298" spans="1:7" ht="18" customHeight="1" x14ac:dyDescent="0.25">
      <c r="A298" s="3">
        <v>213</v>
      </c>
      <c r="B298" s="3"/>
      <c r="C298" s="10"/>
      <c r="D298" s="3"/>
      <c r="E298" s="3"/>
      <c r="F298" s="3"/>
      <c r="G298" s="3"/>
    </row>
    <row r="299" spans="1:7" ht="18" customHeight="1" x14ac:dyDescent="0.25">
      <c r="A299" s="3">
        <v>214</v>
      </c>
      <c r="B299" s="3"/>
      <c r="C299" s="10"/>
      <c r="D299" s="3"/>
      <c r="E299" s="3"/>
      <c r="F299" s="3"/>
      <c r="G299" s="3"/>
    </row>
    <row r="300" spans="1:7" ht="18" customHeight="1" x14ac:dyDescent="0.25">
      <c r="A300" s="3">
        <v>215</v>
      </c>
      <c r="B300" s="3"/>
      <c r="C300" s="10"/>
      <c r="D300" s="3"/>
      <c r="E300" s="3"/>
      <c r="F300" s="3"/>
      <c r="G300" s="3"/>
    </row>
    <row r="301" spans="1:7" ht="18" customHeight="1" x14ac:dyDescent="0.25">
      <c r="A301" s="3">
        <v>216</v>
      </c>
      <c r="B301" s="3"/>
      <c r="C301" s="10"/>
      <c r="D301" s="3"/>
      <c r="E301" s="3"/>
      <c r="F301" s="3"/>
      <c r="G301" s="3"/>
    </row>
    <row r="302" spans="1:7" ht="18" customHeight="1" x14ac:dyDescent="0.25">
      <c r="A302" s="3">
        <v>217</v>
      </c>
      <c r="B302" s="3"/>
      <c r="C302" s="10"/>
      <c r="D302" s="3"/>
      <c r="E302" s="3"/>
      <c r="F302" s="3"/>
      <c r="G302" s="3"/>
    </row>
    <row r="303" spans="1:7" ht="18" customHeight="1" x14ac:dyDescent="0.25">
      <c r="A303" s="3">
        <v>218</v>
      </c>
      <c r="B303" s="3"/>
      <c r="C303" s="10"/>
      <c r="D303" s="3"/>
      <c r="E303" s="3"/>
      <c r="F303" s="3"/>
      <c r="G303" s="3"/>
    </row>
    <row r="304" spans="1:7" ht="18" customHeight="1" x14ac:dyDescent="0.25">
      <c r="A304" s="3">
        <v>219</v>
      </c>
      <c r="B304" s="3"/>
      <c r="C304" s="10"/>
      <c r="D304" s="3"/>
      <c r="E304" s="3"/>
      <c r="F304" s="3"/>
      <c r="G304" s="3"/>
    </row>
    <row r="305" spans="1:7" ht="18" customHeight="1" x14ac:dyDescent="0.25">
      <c r="A305" s="3">
        <v>220</v>
      </c>
      <c r="B305" s="3"/>
      <c r="C305" s="10"/>
      <c r="D305" s="3"/>
      <c r="E305" s="3"/>
      <c r="F305" s="3"/>
      <c r="G305" s="3"/>
    </row>
    <row r="306" spans="1:7" ht="18" customHeight="1" x14ac:dyDescent="0.25">
      <c r="A306" s="3">
        <v>221</v>
      </c>
      <c r="B306" s="3"/>
      <c r="C306" s="10"/>
      <c r="D306" s="3"/>
      <c r="E306" s="3"/>
      <c r="F306" s="3"/>
      <c r="G306" s="3"/>
    </row>
    <row r="307" spans="1:7" ht="18" customHeight="1" x14ac:dyDescent="0.25">
      <c r="A307" s="3">
        <v>222</v>
      </c>
      <c r="B307" s="3"/>
      <c r="C307" s="10"/>
      <c r="D307" s="3"/>
      <c r="E307" s="3"/>
      <c r="F307" s="3"/>
      <c r="G307" s="3"/>
    </row>
    <row r="308" spans="1:7" ht="18" customHeight="1" x14ac:dyDescent="0.25">
      <c r="A308" s="3">
        <v>223</v>
      </c>
      <c r="B308" s="3"/>
      <c r="C308" s="10"/>
      <c r="D308" s="3"/>
      <c r="E308" s="3"/>
      <c r="F308" s="3"/>
      <c r="G308" s="3"/>
    </row>
    <row r="309" spans="1:7" ht="18" customHeight="1" x14ac:dyDescent="0.25">
      <c r="A309" s="3">
        <v>224</v>
      </c>
      <c r="B309" s="3"/>
      <c r="C309" s="10"/>
      <c r="D309" s="3"/>
      <c r="E309" s="3"/>
      <c r="F309" s="3"/>
      <c r="G309" s="3"/>
    </row>
    <row r="310" spans="1:7" ht="18" customHeight="1" x14ac:dyDescent="0.25">
      <c r="A310" s="3">
        <v>225</v>
      </c>
      <c r="B310" s="3"/>
      <c r="C310" s="10"/>
      <c r="D310" s="3"/>
      <c r="E310" s="3"/>
      <c r="F310" s="3"/>
      <c r="G310" s="3"/>
    </row>
    <row r="311" spans="1:7" ht="18" customHeight="1" x14ac:dyDescent="0.25">
      <c r="A311" s="3">
        <v>226</v>
      </c>
      <c r="B311" s="3"/>
      <c r="C311" s="10"/>
      <c r="D311" s="3"/>
      <c r="E311" s="3"/>
      <c r="F311" s="3"/>
      <c r="G311" s="3"/>
    </row>
    <row r="312" spans="1:7" ht="18" customHeight="1" x14ac:dyDescent="0.25">
      <c r="A312" s="3">
        <v>227</v>
      </c>
      <c r="B312" s="3"/>
      <c r="C312" s="10"/>
      <c r="D312" s="3"/>
      <c r="E312" s="3"/>
      <c r="F312" s="3"/>
      <c r="G312" s="3"/>
    </row>
    <row r="313" spans="1:7" ht="18" customHeight="1" x14ac:dyDescent="0.25">
      <c r="A313" s="3">
        <v>228</v>
      </c>
      <c r="B313" s="3"/>
      <c r="C313" s="10"/>
      <c r="D313" s="3"/>
      <c r="E313" s="3"/>
      <c r="F313" s="3"/>
      <c r="G313" s="3"/>
    </row>
    <row r="314" spans="1:7" ht="18" customHeight="1" x14ac:dyDescent="0.25">
      <c r="A314" s="3">
        <v>229</v>
      </c>
      <c r="B314" s="3"/>
      <c r="C314" s="10"/>
      <c r="D314" s="3"/>
      <c r="E314" s="3"/>
      <c r="F314" s="3"/>
      <c r="G314" s="3"/>
    </row>
    <row r="315" spans="1:7" ht="18" customHeight="1" x14ac:dyDescent="0.25">
      <c r="A315" s="3">
        <v>230</v>
      </c>
      <c r="B315" s="3"/>
      <c r="C315" s="10"/>
      <c r="D315" s="3"/>
      <c r="E315" s="3"/>
      <c r="F315" s="3"/>
      <c r="G315" s="3"/>
    </row>
    <row r="316" spans="1:7" ht="18" customHeight="1" x14ac:dyDescent="0.25">
      <c r="A316" s="3">
        <v>231</v>
      </c>
      <c r="B316" s="3"/>
      <c r="C316" s="10"/>
      <c r="D316" s="3"/>
      <c r="E316" s="3"/>
      <c r="F316" s="3"/>
      <c r="G316" s="3"/>
    </row>
    <row r="317" spans="1:7" ht="18" customHeight="1" x14ac:dyDescent="0.25">
      <c r="A317" s="3">
        <v>232</v>
      </c>
      <c r="B317" s="3"/>
      <c r="C317" s="10"/>
      <c r="D317" s="3"/>
      <c r="E317" s="3"/>
      <c r="F317" s="3"/>
      <c r="G317" s="3"/>
    </row>
    <row r="318" spans="1:7" ht="18" customHeight="1" x14ac:dyDescent="0.25">
      <c r="A318" s="3">
        <v>233</v>
      </c>
      <c r="B318" s="3"/>
      <c r="C318" s="10"/>
      <c r="D318" s="3"/>
      <c r="E318" s="3"/>
      <c r="F318" s="3"/>
      <c r="G318" s="3"/>
    </row>
    <row r="319" spans="1:7" ht="18" customHeight="1" x14ac:dyDescent="0.25">
      <c r="A319" s="3">
        <v>234</v>
      </c>
      <c r="B319" s="3"/>
      <c r="C319" s="10"/>
      <c r="D319" s="3"/>
      <c r="E319" s="3"/>
      <c r="F319" s="3"/>
      <c r="G319" s="3"/>
    </row>
    <row r="320" spans="1:7" ht="18" customHeight="1" x14ac:dyDescent="0.25">
      <c r="A320" s="3">
        <v>235</v>
      </c>
      <c r="B320" s="3"/>
      <c r="C320" s="10"/>
      <c r="D320" s="3"/>
      <c r="E320" s="3"/>
      <c r="F320" s="3"/>
      <c r="G320" s="3"/>
    </row>
    <row r="321" spans="1:7" ht="18" customHeight="1" x14ac:dyDescent="0.25">
      <c r="A321" s="3">
        <v>236</v>
      </c>
      <c r="B321" s="3"/>
      <c r="C321" s="10"/>
      <c r="D321" s="3"/>
      <c r="E321" s="3"/>
      <c r="F321" s="3"/>
      <c r="G321" s="3"/>
    </row>
    <row r="322" spans="1:7" ht="18" customHeight="1" x14ac:dyDescent="0.25">
      <c r="A322" s="3">
        <v>237</v>
      </c>
      <c r="B322" s="3"/>
      <c r="C322" s="10"/>
      <c r="D322" s="3"/>
      <c r="E322" s="3"/>
      <c r="F322" s="3"/>
      <c r="G322" s="3"/>
    </row>
    <row r="323" spans="1:7" ht="18" customHeight="1" x14ac:dyDescent="0.25">
      <c r="A323" s="3">
        <v>238</v>
      </c>
      <c r="B323" s="3"/>
      <c r="C323" s="10"/>
      <c r="D323" s="3"/>
      <c r="E323" s="3"/>
      <c r="F323" s="3"/>
      <c r="G323" s="3"/>
    </row>
    <row r="324" spans="1:7" ht="18" customHeight="1" x14ac:dyDescent="0.25">
      <c r="A324" s="3">
        <v>239</v>
      </c>
      <c r="B324" s="3"/>
      <c r="C324" s="10"/>
      <c r="D324" s="3"/>
      <c r="E324" s="3"/>
      <c r="F324" s="3"/>
      <c r="G324" s="3"/>
    </row>
    <row r="325" spans="1:7" ht="18" customHeight="1" x14ac:dyDescent="0.25">
      <c r="A325" s="3">
        <v>240</v>
      </c>
      <c r="B325" s="3"/>
      <c r="C325" s="10"/>
      <c r="D325" s="3"/>
      <c r="E325" s="3"/>
      <c r="F325" s="3"/>
      <c r="G325" s="3"/>
    </row>
    <row r="326" spans="1:7" ht="33" customHeight="1" x14ac:dyDescent="0.25">
      <c r="A326" s="31" t="str">
        <f>"اجمالى عدد "&amp;COUNTIF(C286:C325,"*")&amp;" شيك بمبلغ"</f>
        <v>اجمالى عدد 0 شيك بمبلغ</v>
      </c>
      <c r="B326" s="32"/>
      <c r="C326" s="32"/>
      <c r="D326" s="33"/>
      <c r="E326" s="13">
        <f>SUM(E285:E325)</f>
        <v>0</v>
      </c>
      <c r="F326" s="29" t="str">
        <f>NoToTxt(E326,"جنيه","قرش")&amp;" لاغير  "</f>
        <v xml:space="preserve">صفر لاغير  </v>
      </c>
      <c r="G326" s="30"/>
    </row>
    <row r="327" spans="1:7" ht="18" customHeight="1" x14ac:dyDescent="0.25">
      <c r="A327" s="23" t="s">
        <v>10013</v>
      </c>
      <c r="B327" s="23"/>
      <c r="C327" s="23"/>
      <c r="D327" s="23"/>
      <c r="E327" s="23"/>
      <c r="F327" s="23"/>
      <c r="G327" s="23"/>
    </row>
    <row r="328" spans="1:7" ht="32.25" customHeight="1" x14ac:dyDescent="0.25">
      <c r="A328" s="24" t="s">
        <v>10014</v>
      </c>
      <c r="B328" s="25"/>
      <c r="C328" s="25"/>
      <c r="D328" s="25"/>
      <c r="E328" s="25"/>
      <c r="F328" s="25"/>
      <c r="G328" s="25"/>
    </row>
    <row r="329" spans="1:7" ht="18" customHeight="1" x14ac:dyDescent="0.25">
      <c r="A329" s="25"/>
      <c r="B329" s="25"/>
      <c r="C329" s="25"/>
      <c r="D329" s="25"/>
      <c r="E329" s="25"/>
      <c r="F329" s="25"/>
      <c r="G329" s="25"/>
    </row>
    <row r="330" spans="1:7" ht="33.75" customHeight="1" x14ac:dyDescent="0.25">
      <c r="A330" s="21" t="str">
        <f>A282</f>
        <v xml:space="preserve"> تابع حافظة شيكات محررة للعملاء طبقاً لموافقة لجنه الائتمان والتمويل المتناهى الصغر المنعقدة في تاريخ </v>
      </c>
      <c r="B330" s="21"/>
      <c r="C330" s="21"/>
      <c r="D330" s="21"/>
      <c r="E330" s="21"/>
      <c r="F330" s="21"/>
      <c r="G330" s="21"/>
    </row>
    <row r="331" spans="1:7" ht="19.5" customHeight="1" x14ac:dyDescent="0.25">
      <c r="A331" s="22" t="str">
        <f>A283</f>
        <v>علي الحساب الجاري رقم / 405033714006  ببنك الأسكندرية فرع اسيوط</v>
      </c>
      <c r="B331" s="22"/>
      <c r="C331" s="22"/>
      <c r="D331" s="22"/>
      <c r="E331" s="22"/>
      <c r="F331" s="22"/>
      <c r="G331" s="22"/>
    </row>
    <row r="332" spans="1:7" ht="30" customHeight="1" x14ac:dyDescent="0.25">
      <c r="A332" s="6" t="s">
        <v>10005</v>
      </c>
      <c r="B332" s="6" t="s">
        <v>10006</v>
      </c>
      <c r="C332" s="9" t="s">
        <v>10007</v>
      </c>
      <c r="D332" s="6" t="s">
        <v>10008</v>
      </c>
      <c r="E332" s="6" t="s">
        <v>10009</v>
      </c>
      <c r="F332" s="6" t="s">
        <v>10010</v>
      </c>
      <c r="G332" s="6" t="s">
        <v>10011</v>
      </c>
    </row>
    <row r="333" spans="1:7" ht="30" customHeight="1" x14ac:dyDescent="0.25">
      <c r="A333" s="31" t="s">
        <v>10597</v>
      </c>
      <c r="B333" s="32"/>
      <c r="C333" s="32"/>
      <c r="D333" s="33"/>
      <c r="E333" s="14">
        <f>E326</f>
        <v>0</v>
      </c>
      <c r="F333" s="29" t="str">
        <f>NoToTxt(E333,"جنيه","قرش")&amp;" لاغير  "</f>
        <v xml:space="preserve">صفر لاغير  </v>
      </c>
      <c r="G333" s="30"/>
    </row>
    <row r="334" spans="1:7" ht="18" customHeight="1" x14ac:dyDescent="0.25">
      <c r="A334" s="3">
        <v>241</v>
      </c>
      <c r="B334" s="3"/>
      <c r="C334" s="10"/>
      <c r="D334" s="3"/>
      <c r="E334" s="3"/>
      <c r="F334" s="3"/>
      <c r="G334" s="3"/>
    </row>
    <row r="335" spans="1:7" ht="18" customHeight="1" x14ac:dyDescent="0.25">
      <c r="A335" s="3">
        <v>242</v>
      </c>
      <c r="B335" s="3"/>
      <c r="C335" s="10"/>
      <c r="D335" s="3"/>
      <c r="E335" s="3"/>
      <c r="F335" s="3"/>
      <c r="G335" s="3"/>
    </row>
    <row r="336" spans="1:7" ht="18" customHeight="1" x14ac:dyDescent="0.25">
      <c r="A336" s="3">
        <v>243</v>
      </c>
      <c r="B336" s="3"/>
      <c r="C336" s="10"/>
      <c r="D336" s="3"/>
      <c r="E336" s="3"/>
      <c r="F336" s="3"/>
      <c r="G336" s="3"/>
    </row>
    <row r="337" spans="1:7" ht="18" customHeight="1" x14ac:dyDescent="0.25">
      <c r="A337" s="3">
        <v>244</v>
      </c>
      <c r="B337" s="3"/>
      <c r="C337" s="10"/>
      <c r="D337" s="3"/>
      <c r="E337" s="3"/>
      <c r="F337" s="3"/>
      <c r="G337" s="3"/>
    </row>
    <row r="338" spans="1:7" ht="18" customHeight="1" x14ac:dyDescent="0.25">
      <c r="A338" s="3">
        <v>245</v>
      </c>
      <c r="B338" s="3"/>
      <c r="C338" s="10"/>
      <c r="D338" s="3"/>
      <c r="E338" s="3"/>
      <c r="F338" s="3"/>
      <c r="G338" s="3"/>
    </row>
    <row r="339" spans="1:7" ht="18" customHeight="1" x14ac:dyDescent="0.25">
      <c r="A339" s="3">
        <v>246</v>
      </c>
      <c r="B339" s="3"/>
      <c r="C339" s="10"/>
      <c r="D339" s="3"/>
      <c r="E339" s="3"/>
      <c r="F339" s="3"/>
      <c r="G339" s="3"/>
    </row>
    <row r="340" spans="1:7" ht="18" customHeight="1" x14ac:dyDescent="0.25">
      <c r="A340" s="3">
        <v>247</v>
      </c>
      <c r="B340" s="3"/>
      <c r="C340" s="10"/>
      <c r="D340" s="3"/>
      <c r="E340" s="3"/>
      <c r="F340" s="3"/>
      <c r="G340" s="3"/>
    </row>
    <row r="341" spans="1:7" ht="18" customHeight="1" x14ac:dyDescent="0.25">
      <c r="A341" s="3">
        <v>248</v>
      </c>
      <c r="B341" s="3"/>
      <c r="C341" s="10"/>
      <c r="D341" s="3"/>
      <c r="E341" s="3"/>
      <c r="F341" s="3"/>
      <c r="G341" s="3"/>
    </row>
    <row r="342" spans="1:7" ht="18" customHeight="1" x14ac:dyDescent="0.25">
      <c r="A342" s="3">
        <v>249</v>
      </c>
      <c r="B342" s="3"/>
      <c r="C342" s="10"/>
      <c r="D342" s="3"/>
      <c r="E342" s="3"/>
      <c r="F342" s="3"/>
      <c r="G342" s="3"/>
    </row>
    <row r="343" spans="1:7" ht="18" customHeight="1" x14ac:dyDescent="0.25">
      <c r="A343" s="3">
        <v>250</v>
      </c>
      <c r="B343" s="3"/>
      <c r="C343" s="10"/>
      <c r="D343" s="3"/>
      <c r="E343" s="3"/>
      <c r="F343" s="3"/>
      <c r="G343" s="3"/>
    </row>
    <row r="344" spans="1:7" ht="18" customHeight="1" x14ac:dyDescent="0.25">
      <c r="A344" s="3">
        <v>251</v>
      </c>
      <c r="B344" s="3"/>
      <c r="C344" s="10"/>
      <c r="D344" s="3"/>
      <c r="E344" s="3"/>
      <c r="F344" s="3"/>
      <c r="G344" s="3"/>
    </row>
    <row r="345" spans="1:7" ht="18" customHeight="1" x14ac:dyDescent="0.25">
      <c r="A345" s="3">
        <v>252</v>
      </c>
      <c r="B345" s="3"/>
      <c r="C345" s="10"/>
      <c r="D345" s="3"/>
      <c r="E345" s="3"/>
      <c r="F345" s="3"/>
      <c r="G345" s="3"/>
    </row>
    <row r="346" spans="1:7" ht="18" customHeight="1" x14ac:dyDescent="0.25">
      <c r="A346" s="3">
        <v>253</v>
      </c>
      <c r="B346" s="3"/>
      <c r="C346" s="10"/>
      <c r="D346" s="3"/>
      <c r="E346" s="3"/>
      <c r="F346" s="3"/>
      <c r="G346" s="3"/>
    </row>
    <row r="347" spans="1:7" ht="18" customHeight="1" x14ac:dyDescent="0.25">
      <c r="A347" s="3">
        <v>254</v>
      </c>
      <c r="B347" s="3"/>
      <c r="C347" s="10"/>
      <c r="D347" s="3"/>
      <c r="E347" s="3"/>
      <c r="F347" s="3"/>
      <c r="G347" s="3"/>
    </row>
    <row r="348" spans="1:7" ht="18" customHeight="1" x14ac:dyDescent="0.25">
      <c r="A348" s="3">
        <v>255</v>
      </c>
      <c r="B348" s="3"/>
      <c r="C348" s="10"/>
      <c r="D348" s="3"/>
      <c r="E348" s="3"/>
      <c r="F348" s="3"/>
      <c r="G348" s="3"/>
    </row>
    <row r="349" spans="1:7" ht="18" customHeight="1" x14ac:dyDescent="0.25">
      <c r="A349" s="3">
        <v>256</v>
      </c>
      <c r="B349" s="3"/>
      <c r="C349" s="10"/>
      <c r="D349" s="3"/>
      <c r="E349" s="3"/>
      <c r="F349" s="3"/>
      <c r="G349" s="3"/>
    </row>
    <row r="350" spans="1:7" ht="18" customHeight="1" x14ac:dyDescent="0.25">
      <c r="A350" s="3">
        <v>257</v>
      </c>
      <c r="B350" s="3"/>
      <c r="C350" s="10"/>
      <c r="D350" s="3"/>
      <c r="E350" s="3"/>
      <c r="F350" s="3"/>
      <c r="G350" s="3"/>
    </row>
    <row r="351" spans="1:7" ht="18" customHeight="1" x14ac:dyDescent="0.25">
      <c r="A351" s="3">
        <v>258</v>
      </c>
      <c r="B351" s="3"/>
      <c r="C351" s="10"/>
      <c r="D351" s="3"/>
      <c r="E351" s="3"/>
      <c r="F351" s="3"/>
      <c r="G351" s="3"/>
    </row>
    <row r="352" spans="1:7" ht="18" customHeight="1" x14ac:dyDescent="0.25">
      <c r="A352" s="3">
        <v>259</v>
      </c>
      <c r="B352" s="3"/>
      <c r="C352" s="10"/>
      <c r="D352" s="3"/>
      <c r="E352" s="3"/>
      <c r="F352" s="3"/>
      <c r="G352" s="3"/>
    </row>
    <row r="353" spans="1:7" ht="18" customHeight="1" x14ac:dyDescent="0.25">
      <c r="A353" s="3">
        <v>260</v>
      </c>
      <c r="B353" s="3"/>
      <c r="C353" s="10"/>
      <c r="D353" s="3"/>
      <c r="E353" s="3"/>
      <c r="F353" s="3"/>
      <c r="G353" s="3"/>
    </row>
    <row r="354" spans="1:7" ht="18" customHeight="1" x14ac:dyDescent="0.25">
      <c r="A354" s="3">
        <v>261</v>
      </c>
      <c r="B354" s="3"/>
      <c r="C354" s="10"/>
      <c r="D354" s="3"/>
      <c r="E354" s="3"/>
      <c r="F354" s="3"/>
      <c r="G354" s="3"/>
    </row>
    <row r="355" spans="1:7" ht="18" customHeight="1" x14ac:dyDescent="0.25">
      <c r="A355" s="3">
        <v>262</v>
      </c>
      <c r="B355" s="3"/>
      <c r="C355" s="10"/>
      <c r="D355" s="3"/>
      <c r="E355" s="3"/>
      <c r="F355" s="3"/>
      <c r="G355" s="3"/>
    </row>
    <row r="356" spans="1:7" ht="18" customHeight="1" x14ac:dyDescent="0.25">
      <c r="A356" s="3">
        <v>263</v>
      </c>
      <c r="B356" s="3"/>
      <c r="C356" s="10"/>
      <c r="D356" s="3"/>
      <c r="E356" s="3"/>
      <c r="F356" s="3"/>
      <c r="G356" s="3"/>
    </row>
    <row r="357" spans="1:7" ht="18" customHeight="1" x14ac:dyDescent="0.25">
      <c r="A357" s="3">
        <v>264</v>
      </c>
      <c r="B357" s="3"/>
      <c r="C357" s="10"/>
      <c r="D357" s="3"/>
      <c r="E357" s="3"/>
      <c r="F357" s="3"/>
      <c r="G357" s="3"/>
    </row>
    <row r="358" spans="1:7" ht="18" customHeight="1" x14ac:dyDescent="0.25">
      <c r="A358" s="3">
        <v>265</v>
      </c>
      <c r="B358" s="3"/>
      <c r="C358" s="10"/>
      <c r="D358" s="3"/>
      <c r="E358" s="3"/>
      <c r="F358" s="3"/>
      <c r="G358" s="3"/>
    </row>
    <row r="359" spans="1:7" ht="18" customHeight="1" x14ac:dyDescent="0.25">
      <c r="A359" s="3">
        <v>266</v>
      </c>
      <c r="B359" s="3"/>
      <c r="C359" s="10"/>
      <c r="D359" s="3"/>
      <c r="E359" s="3"/>
      <c r="F359" s="3"/>
      <c r="G359" s="3"/>
    </row>
    <row r="360" spans="1:7" ht="18" customHeight="1" x14ac:dyDescent="0.25">
      <c r="A360" s="3">
        <v>267</v>
      </c>
      <c r="B360" s="3"/>
      <c r="C360" s="10"/>
      <c r="D360" s="3"/>
      <c r="E360" s="3"/>
      <c r="F360" s="3"/>
      <c r="G360" s="3"/>
    </row>
    <row r="361" spans="1:7" ht="18" customHeight="1" x14ac:dyDescent="0.25">
      <c r="A361" s="3">
        <v>268</v>
      </c>
      <c r="B361" s="3"/>
      <c r="C361" s="10"/>
      <c r="D361" s="3"/>
      <c r="E361" s="3"/>
      <c r="F361" s="3"/>
      <c r="G361" s="3"/>
    </row>
    <row r="362" spans="1:7" ht="18" customHeight="1" x14ac:dyDescent="0.25">
      <c r="A362" s="3">
        <v>269</v>
      </c>
      <c r="B362" s="3"/>
      <c r="C362" s="10"/>
      <c r="D362" s="3"/>
      <c r="E362" s="3"/>
      <c r="F362" s="3"/>
      <c r="G362" s="3"/>
    </row>
    <row r="363" spans="1:7" ht="18" customHeight="1" x14ac:dyDescent="0.25">
      <c r="A363" s="3">
        <v>270</v>
      </c>
      <c r="B363" s="3"/>
      <c r="C363" s="10"/>
      <c r="D363" s="3"/>
      <c r="E363" s="3"/>
      <c r="F363" s="3"/>
      <c r="G363" s="3"/>
    </row>
    <row r="364" spans="1:7" ht="18" customHeight="1" x14ac:dyDescent="0.25">
      <c r="A364" s="3">
        <v>271</v>
      </c>
      <c r="B364" s="3"/>
      <c r="C364" s="10"/>
      <c r="D364" s="3"/>
      <c r="E364" s="3"/>
      <c r="F364" s="3"/>
      <c r="G364" s="3"/>
    </row>
    <row r="365" spans="1:7" ht="18" customHeight="1" x14ac:dyDescent="0.25">
      <c r="A365" s="3">
        <v>272</v>
      </c>
      <c r="B365" s="3"/>
      <c r="C365" s="10"/>
      <c r="D365" s="3"/>
      <c r="E365" s="3"/>
      <c r="F365" s="3"/>
      <c r="G365" s="3"/>
    </row>
    <row r="366" spans="1:7" ht="18" customHeight="1" x14ac:dyDescent="0.25">
      <c r="A366" s="3">
        <v>273</v>
      </c>
      <c r="B366" s="3"/>
      <c r="C366" s="10"/>
      <c r="D366" s="3"/>
      <c r="E366" s="3"/>
      <c r="F366" s="3"/>
      <c r="G366" s="3"/>
    </row>
    <row r="367" spans="1:7" ht="18" customHeight="1" x14ac:dyDescent="0.25">
      <c r="A367" s="3">
        <v>274</v>
      </c>
      <c r="B367" s="3"/>
      <c r="C367" s="10"/>
      <c r="D367" s="3"/>
      <c r="E367" s="3"/>
      <c r="F367" s="3"/>
      <c r="G367" s="3"/>
    </row>
    <row r="368" spans="1:7" ht="18" customHeight="1" x14ac:dyDescent="0.25">
      <c r="A368" s="3">
        <v>275</v>
      </c>
      <c r="B368" s="3"/>
      <c r="C368" s="10"/>
      <c r="D368" s="3"/>
      <c r="E368" s="3"/>
      <c r="F368" s="3"/>
      <c r="G368" s="3"/>
    </row>
    <row r="369" spans="1:7" ht="18" customHeight="1" x14ac:dyDescent="0.25">
      <c r="A369" s="3">
        <v>276</v>
      </c>
      <c r="B369" s="3"/>
      <c r="C369" s="10"/>
      <c r="D369" s="3"/>
      <c r="E369" s="3"/>
      <c r="F369" s="3"/>
      <c r="G369" s="3"/>
    </row>
    <row r="370" spans="1:7" ht="18" customHeight="1" x14ac:dyDescent="0.25">
      <c r="A370" s="3">
        <v>277</v>
      </c>
      <c r="B370" s="3"/>
      <c r="C370" s="10"/>
      <c r="D370" s="3"/>
      <c r="E370" s="3"/>
      <c r="F370" s="3"/>
      <c r="G370" s="3"/>
    </row>
    <row r="371" spans="1:7" ht="18" customHeight="1" x14ac:dyDescent="0.25">
      <c r="A371" s="3">
        <v>278</v>
      </c>
      <c r="B371" s="3"/>
      <c r="C371" s="10"/>
      <c r="D371" s="3"/>
      <c r="E371" s="3"/>
      <c r="F371" s="3"/>
      <c r="G371" s="3"/>
    </row>
    <row r="372" spans="1:7" ht="18" customHeight="1" x14ac:dyDescent="0.25">
      <c r="A372" s="3">
        <v>279</v>
      </c>
      <c r="B372" s="3"/>
      <c r="C372" s="10"/>
      <c r="D372" s="3"/>
      <c r="E372" s="3"/>
      <c r="F372" s="3"/>
      <c r="G372" s="3"/>
    </row>
    <row r="373" spans="1:7" ht="18" customHeight="1" x14ac:dyDescent="0.25">
      <c r="A373" s="3">
        <v>280</v>
      </c>
      <c r="B373" s="3"/>
      <c r="C373" s="10"/>
      <c r="D373" s="3"/>
      <c r="E373" s="3"/>
      <c r="F373" s="3"/>
      <c r="G373" s="3"/>
    </row>
    <row r="374" spans="1:7" ht="33" customHeight="1" x14ac:dyDescent="0.25">
      <c r="A374" s="31" t="str">
        <f>"اجمالى عدد "&amp;COUNTIF(C334:C373,"*")&amp;" شيك بمبلغ"</f>
        <v>اجمالى عدد 0 شيك بمبلغ</v>
      </c>
      <c r="B374" s="32"/>
      <c r="C374" s="32"/>
      <c r="D374" s="33"/>
      <c r="E374" s="13">
        <f>SUM(E333:E373)</f>
        <v>0</v>
      </c>
      <c r="F374" s="29" t="str">
        <f>NoToTxt(E374,"جنيه","قرش")&amp;" لاغير  "</f>
        <v xml:space="preserve">صفر لاغير  </v>
      </c>
      <c r="G374" s="30"/>
    </row>
    <row r="375" spans="1:7" ht="18" customHeight="1" x14ac:dyDescent="0.25">
      <c r="A375" s="23" t="s">
        <v>10013</v>
      </c>
      <c r="B375" s="23"/>
      <c r="C375" s="23"/>
      <c r="D375" s="23"/>
      <c r="E375" s="23"/>
      <c r="F375" s="23"/>
      <c r="G375" s="23"/>
    </row>
    <row r="376" spans="1:7" ht="32.25" customHeight="1" x14ac:dyDescent="0.25">
      <c r="A376" s="24" t="s">
        <v>10014</v>
      </c>
      <c r="B376" s="25"/>
      <c r="C376" s="25"/>
      <c r="D376" s="25"/>
      <c r="E376" s="25"/>
      <c r="F376" s="25"/>
      <c r="G376" s="25"/>
    </row>
    <row r="377" spans="1:7" ht="18" customHeight="1" x14ac:dyDescent="0.25">
      <c r="A377" s="25"/>
      <c r="B377" s="25"/>
      <c r="C377" s="25"/>
      <c r="D377" s="25"/>
      <c r="E377" s="25"/>
      <c r="F377" s="25"/>
      <c r="G377" s="25"/>
    </row>
    <row r="378" spans="1:7" ht="33.75" customHeight="1" x14ac:dyDescent="0.25">
      <c r="A378" s="21" t="str">
        <f>A330</f>
        <v xml:space="preserve"> تابع حافظة شيكات محررة للعملاء طبقاً لموافقة لجنه الائتمان والتمويل المتناهى الصغر المنعقدة في تاريخ </v>
      </c>
      <c r="B378" s="21"/>
      <c r="C378" s="21"/>
      <c r="D378" s="21"/>
      <c r="E378" s="21"/>
      <c r="F378" s="21"/>
      <c r="G378" s="21"/>
    </row>
    <row r="379" spans="1:7" ht="19.5" customHeight="1" x14ac:dyDescent="0.25">
      <c r="A379" s="22" t="str">
        <f>A331</f>
        <v>علي الحساب الجاري رقم / 405033714006  ببنك الأسكندرية فرع اسيوط</v>
      </c>
      <c r="B379" s="22"/>
      <c r="C379" s="22"/>
      <c r="D379" s="22"/>
      <c r="E379" s="22"/>
      <c r="F379" s="22"/>
      <c r="G379" s="22"/>
    </row>
    <row r="380" spans="1:7" ht="30" customHeight="1" x14ac:dyDescent="0.25">
      <c r="A380" s="6" t="s">
        <v>10005</v>
      </c>
      <c r="B380" s="6" t="s">
        <v>10006</v>
      </c>
      <c r="C380" s="9" t="s">
        <v>10007</v>
      </c>
      <c r="D380" s="6" t="s">
        <v>10008</v>
      </c>
      <c r="E380" s="6" t="s">
        <v>10009</v>
      </c>
      <c r="F380" s="6" t="s">
        <v>10010</v>
      </c>
      <c r="G380" s="6" t="s">
        <v>10011</v>
      </c>
    </row>
    <row r="381" spans="1:7" ht="30" customHeight="1" x14ac:dyDescent="0.25">
      <c r="A381" s="31" t="s">
        <v>10598</v>
      </c>
      <c r="B381" s="32"/>
      <c r="C381" s="32"/>
      <c r="D381" s="33"/>
      <c r="E381" s="14">
        <f>E374</f>
        <v>0</v>
      </c>
      <c r="F381" s="29" t="str">
        <f>NoToTxt(E381,"جنيه","قرش")&amp;" لاغير  "</f>
        <v xml:space="preserve">صفر لاغير  </v>
      </c>
      <c r="G381" s="30"/>
    </row>
    <row r="382" spans="1:7" ht="18" customHeight="1" x14ac:dyDescent="0.25">
      <c r="A382" s="3">
        <v>281</v>
      </c>
      <c r="B382" s="3"/>
      <c r="C382" s="10"/>
      <c r="D382" s="3"/>
      <c r="E382" s="3"/>
      <c r="F382" s="3"/>
      <c r="G382" s="3"/>
    </row>
    <row r="383" spans="1:7" ht="18" customHeight="1" x14ac:dyDescent="0.25">
      <c r="A383" s="3">
        <v>282</v>
      </c>
      <c r="B383" s="3"/>
      <c r="C383" s="10"/>
      <c r="D383" s="3"/>
      <c r="E383" s="3"/>
      <c r="F383" s="3"/>
      <c r="G383" s="3"/>
    </row>
    <row r="384" spans="1:7" ht="18" customHeight="1" x14ac:dyDescent="0.25">
      <c r="A384" s="3">
        <v>283</v>
      </c>
      <c r="B384" s="3"/>
      <c r="C384" s="10"/>
      <c r="D384" s="3"/>
      <c r="E384" s="3"/>
      <c r="F384" s="3"/>
      <c r="G384" s="3"/>
    </row>
    <row r="385" spans="1:7" ht="18" customHeight="1" x14ac:dyDescent="0.25">
      <c r="A385" s="3">
        <v>284</v>
      </c>
      <c r="B385" s="3"/>
      <c r="C385" s="10"/>
      <c r="D385" s="3"/>
      <c r="E385" s="3"/>
      <c r="F385" s="3"/>
      <c r="G385" s="3"/>
    </row>
    <row r="386" spans="1:7" ht="18" customHeight="1" x14ac:dyDescent="0.25">
      <c r="A386" s="3">
        <v>285</v>
      </c>
      <c r="B386" s="3"/>
      <c r="C386" s="10"/>
      <c r="D386" s="3"/>
      <c r="E386" s="3"/>
      <c r="F386" s="3"/>
      <c r="G386" s="3"/>
    </row>
    <row r="387" spans="1:7" ht="18" customHeight="1" x14ac:dyDescent="0.25">
      <c r="A387" s="3">
        <v>286</v>
      </c>
      <c r="B387" s="3"/>
      <c r="C387" s="10"/>
      <c r="D387" s="3"/>
      <c r="E387" s="3"/>
      <c r="F387" s="3"/>
      <c r="G387" s="3"/>
    </row>
    <row r="388" spans="1:7" ht="18" customHeight="1" x14ac:dyDescent="0.25">
      <c r="A388" s="3">
        <v>287</v>
      </c>
      <c r="B388" s="3"/>
      <c r="C388" s="10"/>
      <c r="D388" s="3"/>
      <c r="E388" s="3"/>
      <c r="F388" s="3"/>
      <c r="G388" s="3"/>
    </row>
    <row r="389" spans="1:7" ht="18" customHeight="1" x14ac:dyDescent="0.25">
      <c r="A389" s="3">
        <v>288</v>
      </c>
      <c r="B389" s="3"/>
      <c r="C389" s="10"/>
      <c r="D389" s="3"/>
      <c r="E389" s="3"/>
      <c r="F389" s="3"/>
      <c r="G389" s="3"/>
    </row>
    <row r="390" spans="1:7" ht="18" customHeight="1" x14ac:dyDescent="0.25">
      <c r="A390" s="3">
        <v>289</v>
      </c>
      <c r="B390" s="3"/>
      <c r="C390" s="10"/>
      <c r="D390" s="3"/>
      <c r="E390" s="3"/>
      <c r="F390" s="3"/>
      <c r="G390" s="3"/>
    </row>
    <row r="391" spans="1:7" ht="18" customHeight="1" x14ac:dyDescent="0.25">
      <c r="A391" s="3">
        <v>290</v>
      </c>
      <c r="B391" s="3"/>
      <c r="C391" s="10"/>
      <c r="D391" s="3"/>
      <c r="E391" s="3"/>
      <c r="F391" s="3"/>
      <c r="G391" s="3"/>
    </row>
    <row r="392" spans="1:7" ht="18" customHeight="1" x14ac:dyDescent="0.25">
      <c r="A392" s="3">
        <v>291</v>
      </c>
      <c r="B392" s="3"/>
      <c r="C392" s="10"/>
      <c r="D392" s="3"/>
      <c r="E392" s="3"/>
      <c r="F392" s="3"/>
      <c r="G392" s="3"/>
    </row>
    <row r="393" spans="1:7" ht="18" customHeight="1" x14ac:dyDescent="0.25">
      <c r="A393" s="3">
        <v>292</v>
      </c>
      <c r="B393" s="3"/>
      <c r="C393" s="10"/>
      <c r="D393" s="3"/>
      <c r="E393" s="3"/>
      <c r="F393" s="3"/>
      <c r="G393" s="3"/>
    </row>
    <row r="394" spans="1:7" ht="18" customHeight="1" x14ac:dyDescent="0.25">
      <c r="A394" s="3">
        <v>293</v>
      </c>
      <c r="B394" s="3"/>
      <c r="C394" s="10"/>
      <c r="D394" s="3"/>
      <c r="E394" s="3"/>
      <c r="F394" s="3"/>
      <c r="G394" s="3"/>
    </row>
    <row r="395" spans="1:7" ht="18" customHeight="1" x14ac:dyDescent="0.25">
      <c r="A395" s="3">
        <v>294</v>
      </c>
      <c r="B395" s="3"/>
      <c r="C395" s="10"/>
      <c r="D395" s="3"/>
      <c r="E395" s="3"/>
      <c r="F395" s="3"/>
      <c r="G395" s="3"/>
    </row>
    <row r="396" spans="1:7" ht="18" customHeight="1" x14ac:dyDescent="0.25">
      <c r="A396" s="3">
        <v>295</v>
      </c>
      <c r="B396" s="3"/>
      <c r="C396" s="10"/>
      <c r="D396" s="3"/>
      <c r="E396" s="3"/>
      <c r="F396" s="3"/>
      <c r="G396" s="3"/>
    </row>
    <row r="397" spans="1:7" ht="18" customHeight="1" x14ac:dyDescent="0.25">
      <c r="A397" s="3">
        <v>296</v>
      </c>
      <c r="B397" s="3"/>
      <c r="C397" s="10"/>
      <c r="D397" s="3"/>
      <c r="E397" s="3"/>
      <c r="F397" s="3"/>
      <c r="G397" s="3"/>
    </row>
    <row r="398" spans="1:7" ht="18" customHeight="1" x14ac:dyDescent="0.25">
      <c r="A398" s="3">
        <v>297</v>
      </c>
      <c r="B398" s="3"/>
      <c r="C398" s="10"/>
      <c r="D398" s="3"/>
      <c r="E398" s="3"/>
      <c r="F398" s="3"/>
      <c r="G398" s="3"/>
    </row>
    <row r="399" spans="1:7" ht="18" customHeight="1" x14ac:dyDescent="0.25">
      <c r="A399" s="3">
        <v>298</v>
      </c>
      <c r="B399" s="3"/>
      <c r="C399" s="10"/>
      <c r="D399" s="3"/>
      <c r="E399" s="3"/>
      <c r="F399" s="3"/>
      <c r="G399" s="3"/>
    </row>
    <row r="400" spans="1:7" ht="18" customHeight="1" x14ac:dyDescent="0.25">
      <c r="A400" s="3">
        <v>299</v>
      </c>
      <c r="B400" s="3"/>
      <c r="C400" s="10"/>
      <c r="D400" s="3"/>
      <c r="E400" s="3"/>
      <c r="F400" s="3"/>
      <c r="G400" s="3"/>
    </row>
    <row r="401" spans="1:7" ht="18" customHeight="1" x14ac:dyDescent="0.25">
      <c r="A401" s="3">
        <v>300</v>
      </c>
      <c r="B401" s="3"/>
      <c r="C401" s="10"/>
      <c r="D401" s="3"/>
      <c r="E401" s="3"/>
      <c r="F401" s="3"/>
      <c r="G401" s="3"/>
    </row>
    <row r="402" spans="1:7" ht="18" customHeight="1" x14ac:dyDescent="0.25">
      <c r="A402" s="3">
        <v>301</v>
      </c>
      <c r="B402" s="3"/>
      <c r="C402" s="10"/>
      <c r="D402" s="3"/>
      <c r="E402" s="3"/>
      <c r="F402" s="3"/>
      <c r="G402" s="3"/>
    </row>
    <row r="403" spans="1:7" ht="18" customHeight="1" x14ac:dyDescent="0.25">
      <c r="A403" s="3">
        <v>302</v>
      </c>
      <c r="B403" s="3"/>
      <c r="C403" s="10"/>
      <c r="D403" s="3"/>
      <c r="E403" s="3"/>
      <c r="F403" s="3"/>
      <c r="G403" s="3"/>
    </row>
    <row r="404" spans="1:7" ht="18" customHeight="1" x14ac:dyDescent="0.25">
      <c r="A404" s="3">
        <v>303</v>
      </c>
      <c r="B404" s="3"/>
      <c r="C404" s="10"/>
      <c r="D404" s="3"/>
      <c r="E404" s="3"/>
      <c r="F404" s="3"/>
      <c r="G404" s="3"/>
    </row>
    <row r="405" spans="1:7" ht="18" customHeight="1" x14ac:dyDescent="0.25">
      <c r="A405" s="3">
        <v>304</v>
      </c>
      <c r="B405" s="3"/>
      <c r="C405" s="10"/>
      <c r="D405" s="3"/>
      <c r="E405" s="3"/>
      <c r="F405" s="3"/>
      <c r="G405" s="3"/>
    </row>
    <row r="406" spans="1:7" ht="18" customHeight="1" x14ac:dyDescent="0.25">
      <c r="A406" s="3">
        <v>305</v>
      </c>
      <c r="B406" s="3"/>
      <c r="C406" s="10"/>
      <c r="D406" s="3"/>
      <c r="E406" s="3"/>
      <c r="F406" s="3"/>
      <c r="G406" s="3"/>
    </row>
    <row r="407" spans="1:7" ht="18" customHeight="1" x14ac:dyDescent="0.25">
      <c r="A407" s="3">
        <v>306</v>
      </c>
      <c r="B407" s="3"/>
      <c r="C407" s="10"/>
      <c r="D407" s="3"/>
      <c r="E407" s="3"/>
      <c r="F407" s="3"/>
      <c r="G407" s="3"/>
    </row>
    <row r="408" spans="1:7" ht="18" customHeight="1" x14ac:dyDescent="0.25">
      <c r="A408" s="3">
        <v>307</v>
      </c>
      <c r="B408" s="3"/>
      <c r="C408" s="10"/>
      <c r="D408" s="3"/>
      <c r="E408" s="3"/>
      <c r="F408" s="3"/>
      <c r="G408" s="3"/>
    </row>
    <row r="409" spans="1:7" ht="18" customHeight="1" x14ac:dyDescent="0.25">
      <c r="A409" s="3">
        <v>308</v>
      </c>
      <c r="B409" s="3"/>
      <c r="C409" s="10"/>
      <c r="D409" s="3"/>
      <c r="E409" s="3"/>
      <c r="F409" s="3"/>
      <c r="G409" s="3"/>
    </row>
    <row r="410" spans="1:7" ht="18" customHeight="1" x14ac:dyDescent="0.25">
      <c r="A410" s="3">
        <v>309</v>
      </c>
      <c r="B410" s="3"/>
      <c r="C410" s="10"/>
      <c r="D410" s="3"/>
      <c r="E410" s="3"/>
      <c r="F410" s="3"/>
      <c r="G410" s="3"/>
    </row>
    <row r="411" spans="1:7" ht="18" customHeight="1" x14ac:dyDescent="0.25">
      <c r="A411" s="3">
        <v>310</v>
      </c>
      <c r="B411" s="3"/>
      <c r="C411" s="10"/>
      <c r="D411" s="3"/>
      <c r="E411" s="3"/>
      <c r="F411" s="3"/>
      <c r="G411" s="3"/>
    </row>
    <row r="412" spans="1:7" ht="18" customHeight="1" x14ac:dyDescent="0.25">
      <c r="A412" s="3">
        <v>311</v>
      </c>
      <c r="B412" s="3"/>
      <c r="C412" s="10"/>
      <c r="D412" s="3"/>
      <c r="E412" s="3"/>
      <c r="F412" s="3"/>
      <c r="G412" s="3"/>
    </row>
    <row r="413" spans="1:7" ht="18" customHeight="1" x14ac:dyDescent="0.25">
      <c r="A413" s="3">
        <v>312</v>
      </c>
      <c r="B413" s="3"/>
      <c r="C413" s="10"/>
      <c r="D413" s="3"/>
      <c r="E413" s="3"/>
      <c r="F413" s="3"/>
      <c r="G413" s="3"/>
    </row>
    <row r="414" spans="1:7" ht="18" customHeight="1" x14ac:dyDescent="0.25">
      <c r="A414" s="3">
        <v>313</v>
      </c>
      <c r="B414" s="3"/>
      <c r="C414" s="10"/>
      <c r="D414" s="3"/>
      <c r="E414" s="3"/>
      <c r="F414" s="3"/>
      <c r="G414" s="3"/>
    </row>
    <row r="415" spans="1:7" ht="18" customHeight="1" x14ac:dyDescent="0.25">
      <c r="A415" s="3">
        <v>314</v>
      </c>
      <c r="B415" s="3"/>
      <c r="C415" s="10"/>
      <c r="D415" s="3"/>
      <c r="E415" s="3"/>
      <c r="F415" s="3"/>
      <c r="G415" s="3"/>
    </row>
    <row r="416" spans="1:7" ht="18" customHeight="1" x14ac:dyDescent="0.25">
      <c r="A416" s="3">
        <v>315</v>
      </c>
      <c r="B416" s="3"/>
      <c r="C416" s="10"/>
      <c r="D416" s="3"/>
      <c r="E416" s="3"/>
      <c r="F416" s="3"/>
      <c r="G416" s="3"/>
    </row>
    <row r="417" spans="1:7" ht="18" customHeight="1" x14ac:dyDescent="0.25">
      <c r="A417" s="3">
        <v>316</v>
      </c>
      <c r="B417" s="3"/>
      <c r="C417" s="10"/>
      <c r="D417" s="3"/>
      <c r="E417" s="3"/>
      <c r="F417" s="3"/>
      <c r="G417" s="3"/>
    </row>
    <row r="418" spans="1:7" ht="18" customHeight="1" x14ac:dyDescent="0.25">
      <c r="A418" s="3">
        <v>317</v>
      </c>
      <c r="B418" s="3"/>
      <c r="C418" s="10"/>
      <c r="D418" s="3"/>
      <c r="E418" s="3"/>
      <c r="F418" s="3"/>
      <c r="G418" s="3"/>
    </row>
    <row r="419" spans="1:7" ht="18" customHeight="1" x14ac:dyDescent="0.25">
      <c r="A419" s="3">
        <v>318</v>
      </c>
      <c r="B419" s="3"/>
      <c r="C419" s="10"/>
      <c r="D419" s="3"/>
      <c r="E419" s="3"/>
      <c r="F419" s="3"/>
      <c r="G419" s="3"/>
    </row>
    <row r="420" spans="1:7" ht="18" customHeight="1" x14ac:dyDescent="0.25">
      <c r="A420" s="3">
        <v>319</v>
      </c>
      <c r="B420" s="3"/>
      <c r="C420" s="10"/>
      <c r="D420" s="3"/>
      <c r="E420" s="3"/>
      <c r="F420" s="3"/>
      <c r="G420" s="3"/>
    </row>
    <row r="421" spans="1:7" ht="18" customHeight="1" x14ac:dyDescent="0.25">
      <c r="A421" s="3">
        <v>320</v>
      </c>
      <c r="B421" s="3"/>
      <c r="C421" s="10"/>
      <c r="D421" s="3"/>
      <c r="E421" s="3"/>
      <c r="F421" s="3"/>
      <c r="G421" s="3"/>
    </row>
    <row r="422" spans="1:7" ht="33" customHeight="1" x14ac:dyDescent="0.25">
      <c r="A422" s="31" t="str">
        <f>"اجمالى عدد "&amp;COUNTIF(C382:C421,"*")&amp;" شيك بمبلغ"</f>
        <v>اجمالى عدد 0 شيك بمبلغ</v>
      </c>
      <c r="B422" s="32"/>
      <c r="C422" s="32"/>
      <c r="D422" s="33"/>
      <c r="E422" s="13">
        <f>SUM(E381:E421)</f>
        <v>0</v>
      </c>
      <c r="F422" s="29" t="str">
        <f>NoToTxt(E422,"جنيه","قرش")&amp;" لاغير  "</f>
        <v xml:space="preserve">صفر لاغير  </v>
      </c>
      <c r="G422" s="30"/>
    </row>
    <row r="423" spans="1:7" ht="18" customHeight="1" x14ac:dyDescent="0.25">
      <c r="A423" s="23" t="s">
        <v>10013</v>
      </c>
      <c r="B423" s="23"/>
      <c r="C423" s="23"/>
      <c r="D423" s="23"/>
      <c r="E423" s="23"/>
      <c r="F423" s="23"/>
      <c r="G423" s="23"/>
    </row>
    <row r="424" spans="1:7" ht="32.25" customHeight="1" x14ac:dyDescent="0.25">
      <c r="A424" s="24" t="s">
        <v>10014</v>
      </c>
      <c r="B424" s="25"/>
      <c r="C424" s="25"/>
      <c r="D424" s="25"/>
      <c r="E424" s="25"/>
      <c r="F424" s="25"/>
      <c r="G424" s="25"/>
    </row>
    <row r="425" spans="1:7" ht="18" customHeight="1" x14ac:dyDescent="0.25">
      <c r="A425" s="25"/>
      <c r="B425" s="25"/>
      <c r="C425" s="25"/>
      <c r="D425" s="25"/>
      <c r="E425" s="25"/>
      <c r="F425" s="25"/>
      <c r="G425" s="25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74">
    <mergeCell ref="A375:G375"/>
    <mergeCell ref="A326:D326"/>
    <mergeCell ref="F326:G326"/>
    <mergeCell ref="A327:G327"/>
    <mergeCell ref="A328:G328"/>
    <mergeCell ref="A329:G329"/>
    <mergeCell ref="A330:G330"/>
    <mergeCell ref="A331:G331"/>
    <mergeCell ref="A333:D333"/>
    <mergeCell ref="F333:G333"/>
    <mergeCell ref="A374:D374"/>
    <mergeCell ref="F374:G374"/>
    <mergeCell ref="A425:G425"/>
    <mergeCell ref="A376:G376"/>
    <mergeCell ref="A377:G377"/>
    <mergeCell ref="A378:G378"/>
    <mergeCell ref="A379:G379"/>
    <mergeCell ref="A381:D381"/>
    <mergeCell ref="F381:G381"/>
    <mergeCell ref="A422:D422"/>
    <mergeCell ref="F422:G422"/>
    <mergeCell ref="A423:G423"/>
    <mergeCell ref="A424:G424"/>
    <mergeCell ref="A280:G280"/>
    <mergeCell ref="A281:G281"/>
    <mergeCell ref="A282:G282"/>
    <mergeCell ref="A283:G283"/>
    <mergeCell ref="A285:D285"/>
    <mergeCell ref="F285:G285"/>
    <mergeCell ref="A141:D141"/>
    <mergeCell ref="F141:G141"/>
    <mergeCell ref="A279:G279"/>
    <mergeCell ref="A230:D230"/>
    <mergeCell ref="F230:G230"/>
    <mergeCell ref="A231:G231"/>
    <mergeCell ref="A232:G232"/>
    <mergeCell ref="A233:G233"/>
    <mergeCell ref="A234:G234"/>
    <mergeCell ref="A235:G235"/>
    <mergeCell ref="A237:D237"/>
    <mergeCell ref="F237:G237"/>
    <mergeCell ref="A278:D278"/>
    <mergeCell ref="F278:G278"/>
    <mergeCell ref="A187:G187"/>
    <mergeCell ref="A189:D189"/>
    <mergeCell ref="A1:C1"/>
    <mergeCell ref="A2:C2"/>
    <mergeCell ref="A6:G6"/>
    <mergeCell ref="A3:C3"/>
    <mergeCell ref="A93:D93"/>
    <mergeCell ref="F93:G93"/>
    <mergeCell ref="A91:G91"/>
    <mergeCell ref="A90:G90"/>
    <mergeCell ref="F1:G1"/>
    <mergeCell ref="A87:G87"/>
    <mergeCell ref="A88:G88"/>
    <mergeCell ref="A89:G89"/>
    <mergeCell ref="B86:D86"/>
    <mergeCell ref="A5:E5"/>
    <mergeCell ref="F86:G86"/>
    <mergeCell ref="F189:G189"/>
    <mergeCell ref="A182:D182"/>
    <mergeCell ref="F182:G182"/>
    <mergeCell ref="A183:G183"/>
    <mergeCell ref="A184:G184"/>
    <mergeCell ref="A185:G185"/>
    <mergeCell ref="A186:G186"/>
    <mergeCell ref="A138:G138"/>
    <mergeCell ref="A139:G139"/>
    <mergeCell ref="A135:G135"/>
    <mergeCell ref="A136:G136"/>
    <mergeCell ref="A134:D134"/>
    <mergeCell ref="F134:G134"/>
    <mergeCell ref="A137:G137"/>
  </mergeCells>
  <conditionalFormatting sqref="B8:B85">
    <cfRule type="duplicateValues" dxfId="0" priority="1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78" orientation="portrait" r:id="rId2"/>
  <headerFooter>
    <oddHeader>&amp;L&amp;"Arial,Bold"&amp;12       Page &amp;P of &amp;N</oddHeader>
    <oddFooter>&amp;C&amp;D</oddFooter>
  </headerFooter>
  <rowBreaks count="7" manualBreakCount="7">
    <brk id="89" max="16383" man="1"/>
    <brk id="137" max="16383" man="1"/>
    <brk id="185" max="16383" man="1"/>
    <brk id="233" max="16383" man="1"/>
    <brk id="281" max="16383" man="1"/>
    <brk id="329" max="16383" man="1"/>
    <brk id="377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87"/>
  <sheetViews>
    <sheetView rightToLeft="1" view="pageBreakPreview" zoomScale="70" zoomScaleNormal="180" zoomScaleSheetLayoutView="70" workbookViewId="0">
      <pane ySplit="7" topLeftCell="A8" activePane="bottomLeft" state="frozen"/>
      <selection pane="bottomLeft" activeCell="B8" sqref="B8"/>
    </sheetView>
  </sheetViews>
  <sheetFormatPr defaultColWidth="9.109375" defaultRowHeight="13.2" x14ac:dyDescent="0.25"/>
  <cols>
    <col min="1" max="1" width="4.44140625" style="15" customWidth="1"/>
    <col min="2" max="2" width="12.33203125" style="15" customWidth="1"/>
    <col min="3" max="3" width="28.109375" style="8" customWidth="1"/>
    <col min="4" max="4" width="19.88671875" style="15" customWidth="1"/>
    <col min="5" max="5" width="16.5546875" style="15" customWidth="1"/>
    <col min="6" max="6" width="25" style="15" customWidth="1"/>
    <col min="7" max="7" width="19.88671875" style="15" customWidth="1"/>
    <col min="8" max="16384" width="9.109375" style="15"/>
  </cols>
  <sheetData>
    <row r="1" spans="1:7" x14ac:dyDescent="0.25">
      <c r="A1" s="34" t="s">
        <v>10004</v>
      </c>
      <c r="B1" s="34"/>
      <c r="C1" s="34"/>
      <c r="F1" s="38" t="str">
        <f>'حافظة شيكات محررة'!F1:G1</f>
        <v xml:space="preserve">مشروع ايدى فى ايدك  </v>
      </c>
      <c r="G1" s="39"/>
    </row>
    <row r="2" spans="1:7" x14ac:dyDescent="0.25">
      <c r="A2" s="34" t="s">
        <v>10604</v>
      </c>
      <c r="B2" s="34"/>
      <c r="C2" s="34"/>
    </row>
    <row r="3" spans="1:7" x14ac:dyDescent="0.25">
      <c r="A3" s="38" t="str">
        <f>'حافظة شيكات محررة'!A3:C3</f>
        <v>فرع نجع حمادى</v>
      </c>
      <c r="B3" s="39"/>
      <c r="C3" s="39"/>
    </row>
    <row r="4" spans="1:7" x14ac:dyDescent="0.25">
      <c r="A4" s="16"/>
    </row>
    <row r="5" spans="1:7" ht="33.75" customHeight="1" x14ac:dyDescent="0.25">
      <c r="A5" s="37" t="s">
        <v>10605</v>
      </c>
      <c r="B5" s="37"/>
      <c r="C5" s="37"/>
      <c r="D5" s="37"/>
      <c r="E5" s="37"/>
      <c r="F5" s="19">
        <f>'حافظة شيكات محررة'!F5</f>
        <v>0</v>
      </c>
      <c r="G5" s="18"/>
    </row>
    <row r="6" spans="1:7" ht="19.5" customHeight="1" x14ac:dyDescent="0.25">
      <c r="A6" s="35" t="s">
        <v>10607</v>
      </c>
      <c r="B6" s="35"/>
      <c r="C6" s="35"/>
      <c r="D6" s="35"/>
      <c r="E6" s="35"/>
      <c r="F6" s="35"/>
      <c r="G6" s="35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6" t="s">
        <v>10008</v>
      </c>
      <c r="E7" s="6" t="s">
        <v>10009</v>
      </c>
      <c r="F7" s="7" t="s">
        <v>10010</v>
      </c>
      <c r="G7" s="6" t="s">
        <v>10011</v>
      </c>
    </row>
    <row r="8" spans="1:7" ht="18" customHeight="1" x14ac:dyDescent="0.25">
      <c r="A8" s="3">
        <v>1</v>
      </c>
      <c r="B8" s="3"/>
      <c r="C8" s="10"/>
      <c r="D8" s="11"/>
      <c r="E8" s="3"/>
      <c r="F8" s="11"/>
      <c r="G8" s="3"/>
    </row>
    <row r="9" spans="1:7" ht="18" customHeight="1" x14ac:dyDescent="0.25">
      <c r="A9" s="3">
        <v>2</v>
      </c>
      <c r="B9" s="3"/>
      <c r="C9" s="10"/>
      <c r="D9" s="11"/>
      <c r="E9" s="3"/>
      <c r="F9" s="11"/>
      <c r="G9" s="3"/>
    </row>
    <row r="10" spans="1:7" ht="18" customHeight="1" x14ac:dyDescent="0.25">
      <c r="A10" s="3">
        <v>3</v>
      </c>
      <c r="B10" s="3"/>
      <c r="C10" s="10"/>
      <c r="D10" s="11"/>
      <c r="E10" s="3"/>
      <c r="F10" s="11"/>
      <c r="G10" s="3"/>
    </row>
    <row r="11" spans="1:7" ht="18" customHeight="1" x14ac:dyDescent="0.25">
      <c r="A11" s="3">
        <v>4</v>
      </c>
      <c r="B11" s="3"/>
      <c r="C11" s="10"/>
      <c r="D11" s="11"/>
      <c r="E11" s="3"/>
      <c r="F11" s="11"/>
      <c r="G11" s="3"/>
    </row>
    <row r="12" spans="1:7" ht="18" customHeight="1" x14ac:dyDescent="0.25">
      <c r="A12" s="3">
        <v>5</v>
      </c>
      <c r="B12" s="3"/>
      <c r="C12" s="10"/>
      <c r="D12" s="11"/>
      <c r="E12" s="3"/>
      <c r="F12" s="11"/>
      <c r="G12" s="3"/>
    </row>
    <row r="13" spans="1:7" ht="18" customHeight="1" x14ac:dyDescent="0.25">
      <c r="A13" s="3">
        <v>6</v>
      </c>
      <c r="B13" s="3"/>
      <c r="C13" s="10"/>
      <c r="D13" s="11"/>
      <c r="E13" s="3"/>
      <c r="F13" s="11"/>
      <c r="G13" s="3"/>
    </row>
    <row r="14" spans="1:7" ht="18" customHeight="1" x14ac:dyDescent="0.25">
      <c r="A14" s="3">
        <v>7</v>
      </c>
      <c r="B14" s="3"/>
      <c r="C14" s="10"/>
      <c r="D14" s="11"/>
      <c r="E14" s="3"/>
      <c r="F14" s="11"/>
      <c r="G14" s="3"/>
    </row>
    <row r="15" spans="1:7" ht="18" customHeight="1" x14ac:dyDescent="0.25">
      <c r="A15" s="3">
        <v>8</v>
      </c>
      <c r="B15" s="3"/>
      <c r="C15" s="10"/>
      <c r="D15" s="11"/>
      <c r="E15" s="3"/>
      <c r="F15" s="11"/>
      <c r="G15" s="3"/>
    </row>
    <row r="16" spans="1:7" ht="18" customHeight="1" x14ac:dyDescent="0.25">
      <c r="A16" s="3">
        <v>9</v>
      </c>
      <c r="B16" s="3"/>
      <c r="C16" s="10"/>
      <c r="D16" s="11"/>
      <c r="E16" s="3"/>
      <c r="F16" s="11"/>
      <c r="G16" s="3"/>
    </row>
    <row r="17" spans="1:7" ht="18" customHeight="1" x14ac:dyDescent="0.25">
      <c r="A17" s="3">
        <v>10</v>
      </c>
      <c r="B17" s="3"/>
      <c r="C17" s="10"/>
      <c r="D17" s="11"/>
      <c r="E17" s="3"/>
      <c r="F17" s="11"/>
      <c r="G17" s="3"/>
    </row>
    <row r="18" spans="1:7" ht="18" customHeight="1" x14ac:dyDescent="0.25">
      <c r="A18" s="3">
        <v>11</v>
      </c>
      <c r="B18" s="3"/>
      <c r="C18" s="10"/>
      <c r="D18" s="11"/>
      <c r="E18" s="3"/>
      <c r="F18" s="11"/>
      <c r="G18" s="3"/>
    </row>
    <row r="19" spans="1:7" ht="18" customHeight="1" x14ac:dyDescent="0.25">
      <c r="A19" s="3">
        <v>12</v>
      </c>
      <c r="B19" s="3"/>
      <c r="C19" s="10"/>
      <c r="D19" s="11"/>
      <c r="E19" s="3"/>
      <c r="F19" s="11"/>
      <c r="G19" s="3"/>
    </row>
    <row r="20" spans="1:7" ht="18" customHeight="1" x14ac:dyDescent="0.25">
      <c r="A20" s="3">
        <v>13</v>
      </c>
      <c r="B20" s="3"/>
      <c r="C20" s="10"/>
      <c r="D20" s="11"/>
      <c r="E20" s="3"/>
      <c r="F20" s="11"/>
      <c r="G20" s="3"/>
    </row>
    <row r="21" spans="1:7" ht="18" customHeight="1" x14ac:dyDescent="0.25">
      <c r="A21" s="3">
        <v>14</v>
      </c>
      <c r="B21" s="3"/>
      <c r="C21" s="10"/>
      <c r="D21" s="11"/>
      <c r="E21" s="3"/>
      <c r="F21" s="11"/>
      <c r="G21" s="3"/>
    </row>
    <row r="22" spans="1:7" ht="18" customHeight="1" x14ac:dyDescent="0.25">
      <c r="A22" s="3">
        <v>15</v>
      </c>
      <c r="B22" s="3"/>
      <c r="C22" s="10"/>
      <c r="D22" s="11"/>
      <c r="E22" s="3"/>
      <c r="F22" s="11"/>
      <c r="G22" s="3"/>
    </row>
    <row r="23" spans="1:7" ht="18" customHeight="1" x14ac:dyDescent="0.25">
      <c r="A23" s="3">
        <v>16</v>
      </c>
      <c r="B23" s="3"/>
      <c r="C23" s="10"/>
      <c r="D23" s="11"/>
      <c r="E23" s="3"/>
      <c r="F23" s="11"/>
      <c r="G23" s="3"/>
    </row>
    <row r="24" spans="1:7" ht="18" customHeight="1" x14ac:dyDescent="0.25">
      <c r="A24" s="3">
        <v>17</v>
      </c>
      <c r="B24" s="3"/>
      <c r="C24" s="10"/>
      <c r="D24" s="11"/>
      <c r="E24" s="3"/>
      <c r="F24" s="11"/>
      <c r="G24" s="3"/>
    </row>
    <row r="25" spans="1:7" ht="18" customHeight="1" x14ac:dyDescent="0.25">
      <c r="A25" s="3">
        <v>18</v>
      </c>
      <c r="B25" s="3"/>
      <c r="C25" s="10"/>
      <c r="D25" s="11"/>
      <c r="E25" s="3"/>
      <c r="F25" s="11"/>
      <c r="G25" s="3"/>
    </row>
    <row r="26" spans="1:7" ht="18" customHeight="1" x14ac:dyDescent="0.25">
      <c r="A26" s="3">
        <v>19</v>
      </c>
      <c r="B26" s="3"/>
      <c r="C26" s="10"/>
      <c r="D26" s="11"/>
      <c r="E26" s="3"/>
      <c r="F26" s="11"/>
      <c r="G26" s="3"/>
    </row>
    <row r="27" spans="1:7" ht="18" customHeight="1" x14ac:dyDescent="0.25">
      <c r="A27" s="3">
        <v>20</v>
      </c>
      <c r="B27" s="3"/>
      <c r="C27" s="10"/>
      <c r="D27" s="11"/>
      <c r="E27" s="3"/>
      <c r="F27" s="11"/>
      <c r="G27" s="3"/>
    </row>
    <row r="28" spans="1:7" ht="18" customHeight="1" x14ac:dyDescent="0.25">
      <c r="A28" s="3">
        <v>21</v>
      </c>
      <c r="B28" s="3"/>
      <c r="C28" s="10"/>
      <c r="D28" s="11"/>
      <c r="E28" s="3"/>
      <c r="F28" s="11"/>
      <c r="G28" s="3"/>
    </row>
    <row r="29" spans="1:7" ht="18" customHeight="1" x14ac:dyDescent="0.25">
      <c r="A29" s="3">
        <v>22</v>
      </c>
      <c r="B29" s="3"/>
      <c r="C29" s="10"/>
      <c r="D29" s="11"/>
      <c r="E29" s="3"/>
      <c r="F29" s="11"/>
      <c r="G29" s="3"/>
    </row>
    <row r="30" spans="1:7" ht="18" customHeight="1" x14ac:dyDescent="0.25">
      <c r="A30" s="3">
        <v>23</v>
      </c>
      <c r="B30" s="3"/>
      <c r="C30" s="10"/>
      <c r="D30" s="11"/>
      <c r="E30" s="3"/>
      <c r="F30" s="11"/>
      <c r="G30" s="3"/>
    </row>
    <row r="31" spans="1:7" ht="18" customHeight="1" x14ac:dyDescent="0.25">
      <c r="A31" s="3">
        <v>24</v>
      </c>
      <c r="B31" s="3"/>
      <c r="C31" s="10"/>
      <c r="D31" s="11"/>
      <c r="E31" s="3"/>
      <c r="F31" s="11"/>
      <c r="G31" s="3"/>
    </row>
    <row r="32" spans="1:7" ht="18" customHeight="1" x14ac:dyDescent="0.25">
      <c r="A32" s="3">
        <v>25</v>
      </c>
      <c r="B32" s="3"/>
      <c r="C32" s="10"/>
      <c r="D32" s="11"/>
      <c r="E32" s="3"/>
      <c r="F32" s="11"/>
      <c r="G32" s="3"/>
    </row>
    <row r="33" spans="1:8" ht="18" customHeight="1" x14ac:dyDescent="0.25">
      <c r="A33" s="3">
        <v>26</v>
      </c>
      <c r="B33" s="3"/>
      <c r="C33" s="10"/>
      <c r="D33" s="11"/>
      <c r="E33" s="3"/>
      <c r="F33" s="11"/>
      <c r="G33" s="3"/>
    </row>
    <row r="34" spans="1:8" ht="18" customHeight="1" x14ac:dyDescent="0.25">
      <c r="A34" s="3">
        <v>27</v>
      </c>
      <c r="B34" s="3"/>
      <c r="C34" s="10"/>
      <c r="D34" s="11"/>
      <c r="E34" s="3"/>
      <c r="F34" s="11"/>
      <c r="G34" s="3"/>
    </row>
    <row r="35" spans="1:8" ht="18" customHeight="1" x14ac:dyDescent="0.25">
      <c r="A35" s="3">
        <v>28</v>
      </c>
      <c r="B35" s="3"/>
      <c r="C35" s="10"/>
      <c r="D35" s="11"/>
      <c r="E35" s="3"/>
      <c r="F35" s="11"/>
      <c r="G35" s="3"/>
    </row>
    <row r="36" spans="1:8" ht="18" customHeight="1" x14ac:dyDescent="0.25">
      <c r="A36" s="3">
        <v>29</v>
      </c>
      <c r="B36" s="3"/>
      <c r="C36" s="10"/>
      <c r="D36" s="11"/>
      <c r="E36" s="3"/>
      <c r="F36" s="11"/>
      <c r="G36" s="3"/>
    </row>
    <row r="37" spans="1:8" ht="18" customHeight="1" x14ac:dyDescent="0.25">
      <c r="A37" s="3">
        <v>30</v>
      </c>
      <c r="B37" s="3"/>
      <c r="C37" s="10"/>
      <c r="D37" s="11"/>
      <c r="E37" s="3"/>
      <c r="F37" s="11"/>
      <c r="G37" s="3"/>
    </row>
    <row r="38" spans="1:8" ht="18" customHeight="1" x14ac:dyDescent="0.25">
      <c r="A38" s="3">
        <v>31</v>
      </c>
      <c r="B38" s="3"/>
      <c r="C38" s="10"/>
      <c r="D38" s="11"/>
      <c r="E38" s="3"/>
      <c r="F38" s="11"/>
      <c r="G38" s="3"/>
    </row>
    <row r="39" spans="1:8" ht="18" customHeight="1" x14ac:dyDescent="0.25">
      <c r="A39" s="3">
        <v>32</v>
      </c>
      <c r="B39" s="3"/>
      <c r="C39" s="10"/>
      <c r="D39" s="11"/>
      <c r="E39" s="3"/>
      <c r="F39" s="11"/>
      <c r="G39" s="3"/>
    </row>
    <row r="40" spans="1:8" ht="18" customHeight="1" x14ac:dyDescent="0.25">
      <c r="A40" s="3">
        <v>33</v>
      </c>
      <c r="B40" s="3"/>
      <c r="C40" s="10"/>
      <c r="D40" s="11"/>
      <c r="E40" s="3"/>
      <c r="F40" s="11"/>
      <c r="G40" s="3"/>
    </row>
    <row r="41" spans="1:8" ht="18" customHeight="1" x14ac:dyDescent="0.25">
      <c r="A41" s="3">
        <v>34</v>
      </c>
      <c r="B41" s="3"/>
      <c r="C41" s="10"/>
      <c r="D41" s="11"/>
      <c r="E41" s="3"/>
      <c r="F41" s="11"/>
      <c r="G41" s="3"/>
    </row>
    <row r="42" spans="1:8" ht="18" customHeight="1" x14ac:dyDescent="0.25">
      <c r="A42" s="3">
        <v>35</v>
      </c>
      <c r="B42" s="3"/>
      <c r="C42" s="10"/>
      <c r="D42" s="11"/>
      <c r="E42" s="3"/>
      <c r="F42" s="11"/>
      <c r="G42" s="3"/>
    </row>
    <row r="43" spans="1:8" ht="18" customHeight="1" x14ac:dyDescent="0.25">
      <c r="A43" s="3">
        <v>36</v>
      </c>
      <c r="B43" s="3"/>
      <c r="C43" s="10"/>
      <c r="D43" s="11"/>
      <c r="E43" s="3"/>
      <c r="F43" s="11"/>
      <c r="G43" s="3"/>
    </row>
    <row r="44" spans="1:8" ht="18" customHeight="1" x14ac:dyDescent="0.25">
      <c r="A44" s="3">
        <v>37</v>
      </c>
      <c r="B44" s="3"/>
      <c r="C44" s="10"/>
      <c r="D44" s="11"/>
      <c r="E44" s="3"/>
      <c r="F44" s="11"/>
      <c r="G44" s="3"/>
    </row>
    <row r="45" spans="1:8" ht="18" customHeight="1" x14ac:dyDescent="0.25">
      <c r="A45" s="3">
        <v>38</v>
      </c>
      <c r="B45" s="3"/>
      <c r="C45" s="10"/>
      <c r="D45" s="11"/>
      <c r="E45" s="3"/>
      <c r="F45" s="11"/>
      <c r="G45" s="3"/>
    </row>
    <row r="46" spans="1:8" ht="18" customHeight="1" x14ac:dyDescent="0.25">
      <c r="A46" s="3">
        <v>39</v>
      </c>
      <c r="B46" s="3"/>
      <c r="C46" s="10"/>
      <c r="D46" s="11"/>
      <c r="E46" s="3"/>
      <c r="F46" s="11"/>
      <c r="G46" s="3"/>
    </row>
    <row r="47" spans="1:8" ht="18" customHeight="1" x14ac:dyDescent="0.25">
      <c r="A47" s="3">
        <v>40</v>
      </c>
      <c r="B47" s="3"/>
      <c r="C47" s="10"/>
      <c r="D47" s="11"/>
      <c r="E47" s="3"/>
      <c r="F47" s="11"/>
      <c r="G47" s="3"/>
    </row>
    <row r="48" spans="1:8" ht="33" customHeight="1" x14ac:dyDescent="0.25">
      <c r="A48" s="12"/>
      <c r="B48" s="27" t="str">
        <f>"اجمالى عدد "&amp;COUNTIF(C8:C47,"*")&amp;" شيك بمبلغ"</f>
        <v>اجمالى عدد 0 شيك بمبلغ</v>
      </c>
      <c r="C48" s="27"/>
      <c r="D48" s="28"/>
      <c r="E48" s="13">
        <f>SUM(E8:E47)</f>
        <v>0</v>
      </c>
      <c r="F48" s="29" t="str">
        <f>NoToTxt(E48,"جنيه","قرش")&amp;" لاغير  "</f>
        <v xml:space="preserve">صفر لاغير  </v>
      </c>
      <c r="G48" s="30"/>
      <c r="H48" s="17">
        <f>COUNTIF(C8:C47,"*")</f>
        <v>0</v>
      </c>
    </row>
    <row r="49" spans="1:7" ht="18" customHeight="1" x14ac:dyDescent="0.25">
      <c r="A49" s="23" t="s">
        <v>10602</v>
      </c>
      <c r="B49" s="23"/>
      <c r="C49" s="23"/>
      <c r="D49" s="23"/>
      <c r="E49" s="23"/>
      <c r="F49" s="23"/>
      <c r="G49" s="23"/>
    </row>
    <row r="50" spans="1:7" ht="32.25" customHeight="1" x14ac:dyDescent="0.25">
      <c r="A50" s="24" t="s">
        <v>10014</v>
      </c>
      <c r="B50" s="25"/>
      <c r="C50" s="25"/>
      <c r="D50" s="25"/>
      <c r="E50" s="25"/>
      <c r="F50" s="25"/>
      <c r="G50" s="25"/>
    </row>
    <row r="51" spans="1:7" ht="18" customHeight="1" x14ac:dyDescent="0.25">
      <c r="A51" s="25"/>
      <c r="B51" s="25"/>
      <c r="C51" s="25"/>
      <c r="D51" s="25"/>
      <c r="E51" s="25"/>
      <c r="F51" s="25"/>
      <c r="G51" s="25"/>
    </row>
    <row r="52" spans="1:7" ht="33.75" customHeight="1" x14ac:dyDescent="0.25">
      <c r="A52" s="21" t="str">
        <f>" تابع "&amp;A5</f>
        <v xml:space="preserve"> تابع حافظة شيكات للعملاء ملغاة  بلجنة البت في القروض المنعقدة في تاريخ</v>
      </c>
      <c r="B52" s="21"/>
      <c r="C52" s="21"/>
      <c r="D52" s="21"/>
      <c r="E52" s="21"/>
      <c r="F52" s="21"/>
      <c r="G52" s="21"/>
    </row>
    <row r="53" spans="1:7" ht="19.5" customHeight="1" x14ac:dyDescent="0.25">
      <c r="A53" s="22" t="str">
        <f>A6</f>
        <v>علي الحساب الجاري رقم /  405033714006   ببنك الأسكندرية فرع اسيوط</v>
      </c>
      <c r="B53" s="22"/>
      <c r="C53" s="22"/>
      <c r="D53" s="22"/>
      <c r="E53" s="22"/>
      <c r="F53" s="22"/>
      <c r="G53" s="22"/>
    </row>
    <row r="54" spans="1:7" ht="30" customHeight="1" x14ac:dyDescent="0.25">
      <c r="A54" s="6" t="s">
        <v>10005</v>
      </c>
      <c r="B54" s="6" t="s">
        <v>10006</v>
      </c>
      <c r="C54" s="9" t="s">
        <v>10007</v>
      </c>
      <c r="D54" s="6" t="s">
        <v>10008</v>
      </c>
      <c r="E54" s="6" t="s">
        <v>10009</v>
      </c>
      <c r="F54" s="6" t="s">
        <v>10010</v>
      </c>
      <c r="G54" s="6" t="s">
        <v>10011</v>
      </c>
    </row>
    <row r="55" spans="1:7" ht="30" customHeight="1" x14ac:dyDescent="0.25">
      <c r="A55" s="31" t="s">
        <v>10012</v>
      </c>
      <c r="B55" s="32"/>
      <c r="C55" s="32"/>
      <c r="D55" s="33"/>
      <c r="E55" s="14">
        <f>E48</f>
        <v>0</v>
      </c>
      <c r="F55" s="29" t="str">
        <f>NoToTxt(E55,"جنيه","قرش")&amp;" لاغير  "</f>
        <v xml:space="preserve">صفر لاغير  </v>
      </c>
      <c r="G55" s="30"/>
    </row>
    <row r="56" spans="1:7" ht="18" customHeight="1" x14ac:dyDescent="0.25">
      <c r="A56" s="3">
        <v>41</v>
      </c>
      <c r="B56" s="3"/>
      <c r="C56" s="10"/>
      <c r="D56" s="11"/>
      <c r="E56" s="3"/>
      <c r="F56" s="3"/>
      <c r="G56" s="3"/>
    </row>
    <row r="57" spans="1:7" ht="18" customHeight="1" x14ac:dyDescent="0.25">
      <c r="A57" s="3">
        <v>42</v>
      </c>
      <c r="B57" s="3"/>
      <c r="C57" s="10"/>
      <c r="D57" s="11"/>
      <c r="E57" s="3"/>
      <c r="F57" s="3"/>
      <c r="G57" s="3"/>
    </row>
    <row r="58" spans="1:7" ht="18" customHeight="1" x14ac:dyDescent="0.25">
      <c r="A58" s="3">
        <v>43</v>
      </c>
      <c r="B58" s="3"/>
      <c r="C58" s="10"/>
      <c r="D58" s="11"/>
      <c r="E58" s="3"/>
      <c r="F58" s="3"/>
      <c r="G58" s="3"/>
    </row>
    <row r="59" spans="1:7" ht="18" customHeight="1" x14ac:dyDescent="0.25">
      <c r="A59" s="3">
        <v>44</v>
      </c>
      <c r="B59" s="3"/>
      <c r="C59" s="10"/>
      <c r="D59" s="11"/>
      <c r="E59" s="3"/>
      <c r="F59" s="3"/>
      <c r="G59" s="3"/>
    </row>
    <row r="60" spans="1:7" ht="18" customHeight="1" x14ac:dyDescent="0.25">
      <c r="A60" s="3">
        <v>45</v>
      </c>
      <c r="B60" s="3"/>
      <c r="C60" s="10"/>
      <c r="D60" s="11"/>
      <c r="E60" s="3"/>
      <c r="F60" s="3"/>
      <c r="G60" s="3"/>
    </row>
    <row r="61" spans="1:7" ht="18" customHeight="1" x14ac:dyDescent="0.25">
      <c r="A61" s="3">
        <v>46</v>
      </c>
      <c r="B61" s="3"/>
      <c r="C61" s="10"/>
      <c r="D61" s="11"/>
      <c r="E61" s="3"/>
      <c r="F61" s="3"/>
      <c r="G61" s="3"/>
    </row>
    <row r="62" spans="1:7" ht="18" customHeight="1" x14ac:dyDescent="0.25">
      <c r="A62" s="3">
        <v>47</v>
      </c>
      <c r="B62" s="3"/>
      <c r="C62" s="10"/>
      <c r="D62" s="11"/>
      <c r="E62" s="3"/>
      <c r="F62" s="3"/>
      <c r="G62" s="3"/>
    </row>
    <row r="63" spans="1:7" ht="18" customHeight="1" x14ac:dyDescent="0.25">
      <c r="A63" s="3">
        <v>48</v>
      </c>
      <c r="B63" s="3"/>
      <c r="C63" s="10"/>
      <c r="D63" s="11"/>
      <c r="E63" s="3"/>
      <c r="F63" s="3"/>
      <c r="G63" s="3"/>
    </row>
    <row r="64" spans="1:7" ht="18" customHeight="1" x14ac:dyDescent="0.25">
      <c r="A64" s="3">
        <v>49</v>
      </c>
      <c r="B64" s="3"/>
      <c r="C64" s="10"/>
      <c r="D64" s="11"/>
      <c r="E64" s="3"/>
      <c r="F64" s="3"/>
      <c r="G64" s="3"/>
    </row>
    <row r="65" spans="1:7" ht="18" customHeight="1" x14ac:dyDescent="0.25">
      <c r="A65" s="3">
        <v>50</v>
      </c>
      <c r="B65" s="3"/>
      <c r="C65" s="10"/>
      <c r="D65" s="11"/>
      <c r="E65" s="3"/>
      <c r="F65" s="3"/>
      <c r="G65" s="3"/>
    </row>
    <row r="66" spans="1:7" ht="18" customHeight="1" x14ac:dyDescent="0.25">
      <c r="A66" s="3">
        <v>51</v>
      </c>
      <c r="B66" s="3"/>
      <c r="C66" s="10"/>
      <c r="D66" s="11"/>
      <c r="E66" s="3"/>
      <c r="F66" s="3"/>
      <c r="G66" s="3"/>
    </row>
    <row r="67" spans="1:7" ht="18" customHeight="1" x14ac:dyDescent="0.25">
      <c r="A67" s="3">
        <v>52</v>
      </c>
      <c r="B67" s="3"/>
      <c r="C67" s="10"/>
      <c r="D67" s="11"/>
      <c r="E67" s="3"/>
      <c r="F67" s="3"/>
      <c r="G67" s="3"/>
    </row>
    <row r="68" spans="1:7" ht="18" customHeight="1" x14ac:dyDescent="0.25">
      <c r="A68" s="3">
        <v>53</v>
      </c>
      <c r="B68" s="3"/>
      <c r="C68" s="10"/>
      <c r="D68" s="11"/>
      <c r="E68" s="3"/>
      <c r="F68" s="3"/>
      <c r="G68" s="3"/>
    </row>
    <row r="69" spans="1:7" ht="18" customHeight="1" x14ac:dyDescent="0.25">
      <c r="A69" s="3">
        <v>54</v>
      </c>
      <c r="B69" s="3"/>
      <c r="C69" s="10"/>
      <c r="D69" s="11"/>
      <c r="E69" s="3"/>
      <c r="F69" s="3"/>
      <c r="G69" s="3"/>
    </row>
    <row r="70" spans="1:7" ht="18" customHeight="1" x14ac:dyDescent="0.25">
      <c r="A70" s="3">
        <v>55</v>
      </c>
      <c r="B70" s="3"/>
      <c r="C70" s="10"/>
      <c r="D70" s="11"/>
      <c r="E70" s="3"/>
      <c r="F70" s="3"/>
      <c r="G70" s="3"/>
    </row>
    <row r="71" spans="1:7" ht="18" customHeight="1" x14ac:dyDescent="0.25">
      <c r="A71" s="3">
        <v>56</v>
      </c>
      <c r="B71" s="3"/>
      <c r="C71" s="10"/>
      <c r="D71" s="11"/>
      <c r="E71" s="3"/>
      <c r="F71" s="3"/>
      <c r="G71" s="3"/>
    </row>
    <row r="72" spans="1:7" ht="18" customHeight="1" x14ac:dyDescent="0.25">
      <c r="A72" s="3">
        <v>57</v>
      </c>
      <c r="B72" s="3"/>
      <c r="C72" s="10"/>
      <c r="D72" s="11"/>
      <c r="E72" s="3"/>
      <c r="F72" s="3"/>
      <c r="G72" s="3"/>
    </row>
    <row r="73" spans="1:7" ht="18" customHeight="1" x14ac:dyDescent="0.25">
      <c r="A73" s="3">
        <v>58</v>
      </c>
      <c r="B73" s="3"/>
      <c r="C73" s="10"/>
      <c r="D73" s="11"/>
      <c r="E73" s="3"/>
      <c r="F73" s="3"/>
      <c r="G73" s="3"/>
    </row>
    <row r="74" spans="1:7" ht="18" customHeight="1" x14ac:dyDescent="0.25">
      <c r="A74" s="3">
        <v>59</v>
      </c>
      <c r="B74" s="3"/>
      <c r="C74" s="10"/>
      <c r="D74" s="11"/>
      <c r="E74" s="3"/>
      <c r="F74" s="3"/>
      <c r="G74" s="3"/>
    </row>
    <row r="75" spans="1:7" ht="18" customHeight="1" x14ac:dyDescent="0.25">
      <c r="A75" s="3">
        <v>60</v>
      </c>
      <c r="B75" s="3"/>
      <c r="C75" s="10"/>
      <c r="D75" s="11"/>
      <c r="E75" s="3"/>
      <c r="F75" s="3"/>
      <c r="G75" s="3"/>
    </row>
    <row r="76" spans="1:7" ht="18" customHeight="1" x14ac:dyDescent="0.25">
      <c r="A76" s="3">
        <v>61</v>
      </c>
      <c r="B76" s="3"/>
      <c r="C76" s="10"/>
      <c r="D76" s="11"/>
      <c r="E76" s="3"/>
      <c r="F76" s="3"/>
      <c r="G76" s="3"/>
    </row>
    <row r="77" spans="1:7" ht="18" customHeight="1" x14ac:dyDescent="0.25">
      <c r="A77" s="3">
        <v>62</v>
      </c>
      <c r="B77" s="3"/>
      <c r="C77" s="10"/>
      <c r="D77" s="11"/>
      <c r="E77" s="3"/>
      <c r="F77" s="3"/>
      <c r="G77" s="3"/>
    </row>
    <row r="78" spans="1:7" ht="18" customHeight="1" x14ac:dyDescent="0.25">
      <c r="A78" s="3">
        <v>63</v>
      </c>
      <c r="B78" s="3"/>
      <c r="C78" s="10"/>
      <c r="D78" s="11"/>
      <c r="E78" s="3"/>
      <c r="F78" s="3"/>
      <c r="G78" s="3"/>
    </row>
    <row r="79" spans="1:7" ht="18" customHeight="1" x14ac:dyDescent="0.25">
      <c r="A79" s="3">
        <v>64</v>
      </c>
      <c r="B79" s="3"/>
      <c r="C79" s="10"/>
      <c r="D79" s="11"/>
      <c r="E79" s="3"/>
      <c r="F79" s="3"/>
      <c r="G79" s="3"/>
    </row>
    <row r="80" spans="1:7" ht="18" customHeight="1" x14ac:dyDescent="0.25">
      <c r="A80" s="3">
        <v>65</v>
      </c>
      <c r="B80" s="3"/>
      <c r="C80" s="10"/>
      <c r="D80" s="11"/>
      <c r="E80" s="3"/>
      <c r="F80" s="3"/>
      <c r="G80" s="3"/>
    </row>
    <row r="81" spans="1:8" ht="18" customHeight="1" x14ac:dyDescent="0.25">
      <c r="A81" s="3">
        <v>66</v>
      </c>
      <c r="B81" s="3"/>
      <c r="C81" s="10"/>
      <c r="D81" s="11"/>
      <c r="E81" s="3"/>
      <c r="F81" s="3"/>
      <c r="G81" s="3"/>
    </row>
    <row r="82" spans="1:8" ht="18" customHeight="1" x14ac:dyDescent="0.25">
      <c r="A82" s="3">
        <v>67</v>
      </c>
      <c r="B82" s="3"/>
      <c r="C82" s="10"/>
      <c r="D82" s="11"/>
      <c r="E82" s="3"/>
      <c r="F82" s="3"/>
      <c r="G82" s="3"/>
    </row>
    <row r="83" spans="1:8" ht="18" customHeight="1" x14ac:dyDescent="0.25">
      <c r="A83" s="3">
        <v>68</v>
      </c>
      <c r="B83" s="3"/>
      <c r="C83" s="10"/>
      <c r="D83" s="11"/>
      <c r="E83" s="3"/>
      <c r="F83" s="3"/>
      <c r="G83" s="3"/>
    </row>
    <row r="84" spans="1:8" ht="18" customHeight="1" x14ac:dyDescent="0.25">
      <c r="A84" s="3">
        <v>69</v>
      </c>
      <c r="B84" s="3"/>
      <c r="C84" s="10"/>
      <c r="D84" s="11"/>
      <c r="E84" s="3"/>
      <c r="F84" s="3"/>
      <c r="G84" s="3"/>
    </row>
    <row r="85" spans="1:8" ht="18" customHeight="1" x14ac:dyDescent="0.25">
      <c r="A85" s="3">
        <v>70</v>
      </c>
      <c r="B85" s="3"/>
      <c r="C85" s="10"/>
      <c r="D85" s="11"/>
      <c r="E85" s="3"/>
      <c r="F85" s="3"/>
      <c r="G85" s="3"/>
    </row>
    <row r="86" spans="1:8" ht="18" customHeight="1" x14ac:dyDescent="0.25">
      <c r="A86" s="3">
        <v>71</v>
      </c>
      <c r="B86" s="3"/>
      <c r="C86" s="10"/>
      <c r="D86" s="11"/>
      <c r="E86" s="3"/>
      <c r="F86" s="3"/>
      <c r="G86" s="3"/>
    </row>
    <row r="87" spans="1:8" ht="18" customHeight="1" x14ac:dyDescent="0.25">
      <c r="A87" s="3">
        <v>72</v>
      </c>
      <c r="B87" s="3"/>
      <c r="C87" s="10"/>
      <c r="D87" s="11"/>
      <c r="E87" s="3"/>
      <c r="F87" s="3"/>
      <c r="G87" s="3"/>
    </row>
    <row r="88" spans="1:8" ht="18" customHeight="1" x14ac:dyDescent="0.25">
      <c r="A88" s="3">
        <v>73</v>
      </c>
      <c r="B88" s="3"/>
      <c r="C88" s="10"/>
      <c r="D88" s="11"/>
      <c r="E88" s="3"/>
      <c r="F88" s="3"/>
      <c r="G88" s="3"/>
    </row>
    <row r="89" spans="1:8" ht="18" customHeight="1" x14ac:dyDescent="0.25">
      <c r="A89" s="3">
        <v>74</v>
      </c>
      <c r="B89" s="3"/>
      <c r="C89" s="10"/>
      <c r="D89" s="11"/>
      <c r="E89" s="3"/>
      <c r="F89" s="3"/>
      <c r="G89" s="3"/>
    </row>
    <row r="90" spans="1:8" ht="18" customHeight="1" x14ac:dyDescent="0.25">
      <c r="A90" s="3">
        <v>75</v>
      </c>
      <c r="B90" s="3"/>
      <c r="C90" s="10"/>
      <c r="D90" s="11"/>
      <c r="E90" s="3"/>
      <c r="F90" s="3"/>
      <c r="G90" s="3"/>
    </row>
    <row r="91" spans="1:8" ht="18" customHeight="1" x14ac:dyDescent="0.25">
      <c r="A91" s="3">
        <v>76</v>
      </c>
      <c r="B91" s="3"/>
      <c r="C91" s="10"/>
      <c r="D91" s="11"/>
      <c r="E91" s="3"/>
      <c r="F91" s="3"/>
      <c r="G91" s="3"/>
    </row>
    <row r="92" spans="1:8" ht="18" customHeight="1" x14ac:dyDescent="0.25">
      <c r="A92" s="3">
        <v>77</v>
      </c>
      <c r="B92" s="3"/>
      <c r="C92" s="10"/>
      <c r="D92" s="11"/>
      <c r="E92" s="3"/>
      <c r="F92" s="3"/>
      <c r="G92" s="3"/>
    </row>
    <row r="93" spans="1:8" ht="18" customHeight="1" x14ac:dyDescent="0.25">
      <c r="A93" s="3">
        <v>78</v>
      </c>
      <c r="B93" s="3"/>
      <c r="C93" s="10"/>
      <c r="D93" s="11"/>
      <c r="E93" s="3"/>
      <c r="F93" s="3"/>
      <c r="G93" s="3"/>
    </row>
    <row r="94" spans="1:8" ht="18" customHeight="1" x14ac:dyDescent="0.25">
      <c r="A94" s="3">
        <v>79</v>
      </c>
      <c r="B94" s="3"/>
      <c r="C94" s="10"/>
      <c r="D94" s="11"/>
      <c r="E94" s="3"/>
      <c r="F94" s="3"/>
      <c r="G94" s="3"/>
    </row>
    <row r="95" spans="1:8" ht="18" customHeight="1" x14ac:dyDescent="0.25">
      <c r="A95" s="3">
        <v>80</v>
      </c>
      <c r="B95" s="3"/>
      <c r="C95" s="10"/>
      <c r="D95" s="11"/>
      <c r="E95" s="3"/>
      <c r="F95" s="3"/>
      <c r="G95" s="3"/>
    </row>
    <row r="96" spans="1:8" ht="33" customHeight="1" x14ac:dyDescent="0.25">
      <c r="A96" s="26" t="str">
        <f>"اجمالى عدد "&amp;SUM(H48+H96)&amp;" شيك بمبلغ"</f>
        <v>اجمالى عدد 0 شيك بمبلغ</v>
      </c>
      <c r="B96" s="27"/>
      <c r="C96" s="27"/>
      <c r="D96" s="28"/>
      <c r="E96" s="13">
        <f>SUM(E55:E95)</f>
        <v>0</v>
      </c>
      <c r="F96" s="29" t="str">
        <f>NoToTxt(E96,"جنيه","قرش")&amp;" لاغير  "</f>
        <v xml:space="preserve">صفر لاغير  </v>
      </c>
      <c r="G96" s="30"/>
      <c r="H96" s="15">
        <f>COUNTIF(C56:C95,"*")</f>
        <v>0</v>
      </c>
    </row>
    <row r="97" spans="1:7" ht="18" customHeight="1" x14ac:dyDescent="0.25">
      <c r="A97" s="23" t="s">
        <v>10603</v>
      </c>
      <c r="B97" s="23"/>
      <c r="C97" s="23"/>
      <c r="D97" s="23"/>
      <c r="E97" s="23"/>
      <c r="F97" s="23"/>
      <c r="G97" s="23"/>
    </row>
    <row r="98" spans="1:7" ht="32.25" customHeight="1" x14ac:dyDescent="0.25">
      <c r="A98" s="24" t="s">
        <v>10014</v>
      </c>
      <c r="B98" s="25"/>
      <c r="C98" s="25"/>
      <c r="D98" s="25"/>
      <c r="E98" s="25"/>
      <c r="F98" s="25"/>
      <c r="G98" s="25"/>
    </row>
    <row r="99" spans="1:7" ht="18" customHeight="1" x14ac:dyDescent="0.25">
      <c r="A99" s="25"/>
      <c r="B99" s="25"/>
      <c r="C99" s="25"/>
      <c r="D99" s="25"/>
      <c r="E99" s="25"/>
      <c r="F99" s="25"/>
      <c r="G99" s="25"/>
    </row>
    <row r="100" spans="1:7" ht="33.75" customHeight="1" x14ac:dyDescent="0.25">
      <c r="A100" s="21" t="str">
        <f>A52</f>
        <v xml:space="preserve"> تابع حافظة شيكات للعملاء ملغاة  بلجنة البت في القروض المنعقدة في تاريخ</v>
      </c>
      <c r="B100" s="21"/>
      <c r="C100" s="21"/>
      <c r="D100" s="21"/>
      <c r="E100" s="21"/>
      <c r="F100" s="21"/>
      <c r="G100" s="21"/>
    </row>
    <row r="101" spans="1:7" ht="19.5" customHeight="1" x14ac:dyDescent="0.25">
      <c r="A101" s="22" t="str">
        <f>A53</f>
        <v>علي الحساب الجاري رقم /  405033714006   ببنك الأسكندرية فرع اسيوط</v>
      </c>
      <c r="B101" s="22"/>
      <c r="C101" s="22"/>
      <c r="D101" s="22"/>
      <c r="E101" s="22"/>
      <c r="F101" s="22"/>
      <c r="G101" s="22"/>
    </row>
    <row r="102" spans="1:7" ht="30" customHeight="1" x14ac:dyDescent="0.25">
      <c r="A102" s="6" t="s">
        <v>10005</v>
      </c>
      <c r="B102" s="6" t="s">
        <v>10006</v>
      </c>
      <c r="C102" s="9" t="s">
        <v>10007</v>
      </c>
      <c r="D102" s="6" t="s">
        <v>10008</v>
      </c>
      <c r="E102" s="6" t="s">
        <v>10009</v>
      </c>
      <c r="F102" s="6" t="s">
        <v>10010</v>
      </c>
      <c r="G102" s="6" t="s">
        <v>10011</v>
      </c>
    </row>
    <row r="103" spans="1:7" ht="30" customHeight="1" x14ac:dyDescent="0.25">
      <c r="A103" s="31" t="s">
        <v>10015</v>
      </c>
      <c r="B103" s="32"/>
      <c r="C103" s="32"/>
      <c r="D103" s="33"/>
      <c r="E103" s="14">
        <f>E96</f>
        <v>0</v>
      </c>
      <c r="F103" s="29" t="str">
        <f>NoToTxt(E103,"جنيه","قرش")&amp;" لاغير  "</f>
        <v xml:space="preserve">صفر لاغير  </v>
      </c>
      <c r="G103" s="30"/>
    </row>
    <row r="104" spans="1:7" ht="18" customHeight="1" x14ac:dyDescent="0.25">
      <c r="A104" s="3">
        <v>81</v>
      </c>
      <c r="B104" s="3"/>
      <c r="C104" s="10"/>
      <c r="D104" s="11"/>
      <c r="E104" s="3"/>
      <c r="F104" s="3"/>
      <c r="G104" s="3"/>
    </row>
    <row r="105" spans="1:7" ht="18" customHeight="1" x14ac:dyDescent="0.25">
      <c r="A105" s="3">
        <v>82</v>
      </c>
      <c r="B105" s="3"/>
      <c r="C105" s="10"/>
      <c r="D105" s="11"/>
      <c r="E105" s="3"/>
      <c r="F105" s="3"/>
      <c r="G105" s="3"/>
    </row>
    <row r="106" spans="1:7" ht="18" customHeight="1" x14ac:dyDescent="0.25">
      <c r="A106" s="3">
        <v>83</v>
      </c>
      <c r="B106" s="3"/>
      <c r="C106" s="10"/>
      <c r="D106" s="11"/>
      <c r="E106" s="3"/>
      <c r="F106" s="3"/>
      <c r="G106" s="3"/>
    </row>
    <row r="107" spans="1:7" ht="18" customHeight="1" x14ac:dyDescent="0.25">
      <c r="A107" s="3">
        <v>84</v>
      </c>
      <c r="B107" s="3"/>
      <c r="C107" s="10"/>
      <c r="D107" s="11"/>
      <c r="E107" s="3"/>
      <c r="F107" s="3"/>
      <c r="G107" s="3"/>
    </row>
    <row r="108" spans="1:7" ht="18" customHeight="1" x14ac:dyDescent="0.25">
      <c r="A108" s="3">
        <v>85</v>
      </c>
      <c r="B108" s="3"/>
      <c r="C108" s="10"/>
      <c r="D108" s="11"/>
      <c r="E108" s="3"/>
      <c r="F108" s="3"/>
      <c r="G108" s="3"/>
    </row>
    <row r="109" spans="1:7" ht="18" customHeight="1" x14ac:dyDescent="0.25">
      <c r="A109" s="3">
        <v>86</v>
      </c>
      <c r="B109" s="3"/>
      <c r="C109" s="10"/>
      <c r="D109" s="11"/>
      <c r="E109" s="3"/>
      <c r="F109" s="3"/>
      <c r="G109" s="3"/>
    </row>
    <row r="110" spans="1:7" ht="18" customHeight="1" x14ac:dyDescent="0.25">
      <c r="A110" s="3">
        <v>87</v>
      </c>
      <c r="B110" s="3"/>
      <c r="C110" s="10"/>
      <c r="D110" s="11"/>
      <c r="E110" s="3"/>
      <c r="F110" s="3"/>
      <c r="G110" s="3"/>
    </row>
    <row r="111" spans="1:7" ht="18" customHeight="1" x14ac:dyDescent="0.25">
      <c r="A111" s="3">
        <v>88</v>
      </c>
      <c r="B111" s="3"/>
      <c r="C111" s="10"/>
      <c r="D111" s="11"/>
      <c r="E111" s="3"/>
      <c r="F111" s="3"/>
      <c r="G111" s="3"/>
    </row>
    <row r="112" spans="1:7" ht="18" customHeight="1" x14ac:dyDescent="0.25">
      <c r="A112" s="3">
        <v>89</v>
      </c>
      <c r="B112" s="3"/>
      <c r="C112" s="10"/>
      <c r="D112" s="11"/>
      <c r="E112" s="3"/>
      <c r="F112" s="3"/>
      <c r="G112" s="3"/>
    </row>
    <row r="113" spans="1:7" ht="18" customHeight="1" x14ac:dyDescent="0.25">
      <c r="A113" s="3">
        <v>90</v>
      </c>
      <c r="B113" s="3"/>
      <c r="C113" s="10"/>
      <c r="D113" s="11"/>
      <c r="E113" s="3"/>
      <c r="F113" s="3"/>
      <c r="G113" s="3"/>
    </row>
    <row r="114" spans="1:7" ht="18" customHeight="1" x14ac:dyDescent="0.25">
      <c r="A114" s="3">
        <v>91</v>
      </c>
      <c r="B114" s="3"/>
      <c r="C114" s="10"/>
      <c r="D114" s="11"/>
      <c r="E114" s="3"/>
      <c r="F114" s="3"/>
      <c r="G114" s="3"/>
    </row>
    <row r="115" spans="1:7" ht="18" customHeight="1" x14ac:dyDescent="0.25">
      <c r="A115" s="3">
        <v>92</v>
      </c>
      <c r="B115" s="3"/>
      <c r="C115" s="10"/>
      <c r="D115" s="11"/>
      <c r="E115" s="3"/>
      <c r="F115" s="3"/>
      <c r="G115" s="3"/>
    </row>
    <row r="116" spans="1:7" ht="18" customHeight="1" x14ac:dyDescent="0.25">
      <c r="A116" s="3">
        <v>93</v>
      </c>
      <c r="B116" s="3"/>
      <c r="C116" s="10"/>
      <c r="D116" s="11"/>
      <c r="E116" s="3"/>
      <c r="F116" s="3"/>
      <c r="G116" s="3"/>
    </row>
    <row r="117" spans="1:7" ht="18" customHeight="1" x14ac:dyDescent="0.25">
      <c r="A117" s="3">
        <v>94</v>
      </c>
      <c r="B117" s="3"/>
      <c r="C117" s="10"/>
      <c r="D117" s="11"/>
      <c r="E117" s="3"/>
      <c r="F117" s="3"/>
      <c r="G117" s="3"/>
    </row>
    <row r="118" spans="1:7" ht="18" customHeight="1" x14ac:dyDescent="0.25">
      <c r="A118" s="3">
        <v>95</v>
      </c>
      <c r="B118" s="3"/>
      <c r="C118" s="10"/>
      <c r="D118" s="11"/>
      <c r="E118" s="3"/>
      <c r="F118" s="3"/>
      <c r="G118" s="3"/>
    </row>
    <row r="119" spans="1:7" ht="18" customHeight="1" x14ac:dyDescent="0.25">
      <c r="A119" s="3">
        <v>96</v>
      </c>
      <c r="B119" s="3"/>
      <c r="C119" s="10"/>
      <c r="D119" s="11"/>
      <c r="E119" s="3"/>
      <c r="F119" s="3"/>
      <c r="G119" s="3"/>
    </row>
    <row r="120" spans="1:7" ht="18" customHeight="1" x14ac:dyDescent="0.25">
      <c r="A120" s="3">
        <v>97</v>
      </c>
      <c r="B120" s="3"/>
      <c r="C120" s="10"/>
      <c r="D120" s="11"/>
      <c r="E120" s="3"/>
      <c r="F120" s="3"/>
      <c r="G120" s="3"/>
    </row>
    <row r="121" spans="1:7" ht="18" customHeight="1" x14ac:dyDescent="0.25">
      <c r="A121" s="3">
        <v>98</v>
      </c>
      <c r="B121" s="3"/>
      <c r="C121" s="10"/>
      <c r="D121" s="11"/>
      <c r="E121" s="3"/>
      <c r="F121" s="3"/>
      <c r="G121" s="3"/>
    </row>
    <row r="122" spans="1:7" ht="18" customHeight="1" x14ac:dyDescent="0.25">
      <c r="A122" s="3">
        <v>99</v>
      </c>
      <c r="B122" s="3"/>
      <c r="C122" s="10"/>
      <c r="D122" s="11"/>
      <c r="E122" s="3"/>
      <c r="F122" s="3"/>
      <c r="G122" s="3"/>
    </row>
    <row r="123" spans="1:7" ht="18" customHeight="1" x14ac:dyDescent="0.25">
      <c r="A123" s="3">
        <v>100</v>
      </c>
      <c r="B123" s="3"/>
      <c r="C123" s="10"/>
      <c r="D123" s="11"/>
      <c r="E123" s="3"/>
      <c r="F123" s="3"/>
      <c r="G123" s="3"/>
    </row>
    <row r="124" spans="1:7" ht="18" customHeight="1" x14ac:dyDescent="0.25">
      <c r="A124" s="3">
        <v>101</v>
      </c>
      <c r="B124" s="3"/>
      <c r="C124" s="10"/>
      <c r="D124" s="11"/>
      <c r="E124" s="3"/>
      <c r="F124" s="3"/>
      <c r="G124" s="3"/>
    </row>
    <row r="125" spans="1:7" ht="18" customHeight="1" x14ac:dyDescent="0.25">
      <c r="A125" s="3">
        <v>102</v>
      </c>
      <c r="B125" s="3"/>
      <c r="C125" s="10"/>
      <c r="D125" s="11"/>
      <c r="E125" s="3"/>
      <c r="F125" s="3"/>
      <c r="G125" s="3"/>
    </row>
    <row r="126" spans="1:7" ht="18" customHeight="1" x14ac:dyDescent="0.25">
      <c r="A126" s="3">
        <v>103</v>
      </c>
      <c r="B126" s="3"/>
      <c r="C126" s="10"/>
      <c r="D126" s="11"/>
      <c r="E126" s="3"/>
      <c r="F126" s="3"/>
      <c r="G126" s="3"/>
    </row>
    <row r="127" spans="1:7" ht="18" customHeight="1" x14ac:dyDescent="0.25">
      <c r="A127" s="3">
        <v>104</v>
      </c>
      <c r="B127" s="3"/>
      <c r="C127" s="10"/>
      <c r="D127" s="11"/>
      <c r="E127" s="3"/>
      <c r="F127" s="3"/>
      <c r="G127" s="3"/>
    </row>
    <row r="128" spans="1:7" ht="18" customHeight="1" x14ac:dyDescent="0.25">
      <c r="A128" s="3">
        <v>105</v>
      </c>
      <c r="B128" s="3"/>
      <c r="C128" s="10"/>
      <c r="D128" s="11"/>
      <c r="E128" s="3"/>
      <c r="F128" s="3"/>
      <c r="G128" s="3"/>
    </row>
    <row r="129" spans="1:7" ht="18" customHeight="1" x14ac:dyDescent="0.25">
      <c r="A129" s="3">
        <v>106</v>
      </c>
      <c r="B129" s="3"/>
      <c r="C129" s="10"/>
      <c r="D129" s="11"/>
      <c r="E129" s="3"/>
      <c r="F129" s="3"/>
      <c r="G129" s="3"/>
    </row>
    <row r="130" spans="1:7" ht="18" customHeight="1" x14ac:dyDescent="0.25">
      <c r="A130" s="3">
        <v>107</v>
      </c>
      <c r="B130" s="3"/>
      <c r="C130" s="10"/>
      <c r="D130" s="11"/>
      <c r="E130" s="3"/>
      <c r="F130" s="3"/>
      <c r="G130" s="3"/>
    </row>
    <row r="131" spans="1:7" ht="18" customHeight="1" x14ac:dyDescent="0.25">
      <c r="A131" s="3">
        <v>108</v>
      </c>
      <c r="B131" s="3"/>
      <c r="C131" s="10"/>
      <c r="D131" s="11"/>
      <c r="E131" s="3"/>
      <c r="F131" s="3"/>
      <c r="G131" s="3"/>
    </row>
    <row r="132" spans="1:7" ht="18" customHeight="1" x14ac:dyDescent="0.25">
      <c r="A132" s="3">
        <v>109</v>
      </c>
      <c r="B132" s="3"/>
      <c r="C132" s="10"/>
      <c r="D132" s="11"/>
      <c r="E132" s="3"/>
      <c r="F132" s="3"/>
      <c r="G132" s="3"/>
    </row>
    <row r="133" spans="1:7" ht="18" customHeight="1" x14ac:dyDescent="0.25">
      <c r="A133" s="3">
        <v>110</v>
      </c>
      <c r="B133" s="3"/>
      <c r="C133" s="10"/>
      <c r="D133" s="11"/>
      <c r="E133" s="3"/>
      <c r="F133" s="3"/>
      <c r="G133" s="3"/>
    </row>
    <row r="134" spans="1:7" ht="18" customHeight="1" x14ac:dyDescent="0.25">
      <c r="A134" s="3">
        <v>111</v>
      </c>
      <c r="B134" s="3"/>
      <c r="C134" s="10"/>
      <c r="D134" s="11"/>
      <c r="E134" s="3"/>
      <c r="F134" s="3"/>
      <c r="G134" s="3"/>
    </row>
    <row r="135" spans="1:7" ht="18" customHeight="1" x14ac:dyDescent="0.25">
      <c r="A135" s="3">
        <v>112</v>
      </c>
      <c r="B135" s="3"/>
      <c r="C135" s="10"/>
      <c r="D135" s="11"/>
      <c r="E135" s="3"/>
      <c r="F135" s="3"/>
      <c r="G135" s="3"/>
    </row>
    <row r="136" spans="1:7" ht="18" customHeight="1" x14ac:dyDescent="0.25">
      <c r="A136" s="3">
        <v>113</v>
      </c>
      <c r="B136" s="3"/>
      <c r="C136" s="10"/>
      <c r="D136" s="11"/>
      <c r="E136" s="3"/>
      <c r="F136" s="3"/>
      <c r="G136" s="3"/>
    </row>
    <row r="137" spans="1:7" ht="18" customHeight="1" x14ac:dyDescent="0.25">
      <c r="A137" s="3">
        <v>114</v>
      </c>
      <c r="B137" s="3"/>
      <c r="C137" s="10"/>
      <c r="D137" s="11"/>
      <c r="E137" s="3"/>
      <c r="F137" s="3"/>
      <c r="G137" s="3"/>
    </row>
    <row r="138" spans="1:7" ht="18" customHeight="1" x14ac:dyDescent="0.25">
      <c r="A138" s="3">
        <v>115</v>
      </c>
      <c r="B138" s="3"/>
      <c r="C138" s="10"/>
      <c r="D138" s="11"/>
      <c r="E138" s="3"/>
      <c r="F138" s="3"/>
      <c r="G138" s="3"/>
    </row>
    <row r="139" spans="1:7" ht="18" customHeight="1" x14ac:dyDescent="0.25">
      <c r="A139" s="3">
        <v>116</v>
      </c>
      <c r="B139" s="3"/>
      <c r="C139" s="10"/>
      <c r="D139" s="11"/>
      <c r="E139" s="3"/>
      <c r="F139" s="3"/>
      <c r="G139" s="3"/>
    </row>
    <row r="140" spans="1:7" ht="18" customHeight="1" x14ac:dyDescent="0.25">
      <c r="A140" s="3">
        <v>117</v>
      </c>
      <c r="B140" s="3"/>
      <c r="C140" s="10"/>
      <c r="D140" s="11"/>
      <c r="E140" s="3"/>
      <c r="F140" s="3"/>
      <c r="G140" s="3"/>
    </row>
    <row r="141" spans="1:7" ht="18" customHeight="1" x14ac:dyDescent="0.25">
      <c r="A141" s="3">
        <v>118</v>
      </c>
      <c r="B141" s="3"/>
      <c r="C141" s="10"/>
      <c r="D141" s="11"/>
      <c r="E141" s="3"/>
      <c r="F141" s="3"/>
      <c r="G141" s="3"/>
    </row>
    <row r="142" spans="1:7" ht="18" customHeight="1" x14ac:dyDescent="0.25">
      <c r="A142" s="3">
        <v>119</v>
      </c>
      <c r="B142" s="3"/>
      <c r="C142" s="10"/>
      <c r="D142" s="11"/>
      <c r="E142" s="3"/>
      <c r="F142" s="3"/>
      <c r="G142" s="3"/>
    </row>
    <row r="143" spans="1:7" ht="18" customHeight="1" x14ac:dyDescent="0.25">
      <c r="A143" s="3">
        <v>120</v>
      </c>
      <c r="B143" s="3"/>
      <c r="C143" s="10"/>
      <c r="D143" s="11"/>
      <c r="E143" s="3"/>
      <c r="F143" s="3"/>
      <c r="G143" s="3"/>
    </row>
    <row r="144" spans="1:7" ht="33" customHeight="1" x14ac:dyDescent="0.25">
      <c r="A144" s="31" t="str">
        <f>"اجمالى عدد "&amp;COUNTIF(C104:C143,"*")&amp;" شيك بمبلغ"</f>
        <v>اجمالى عدد 0 شيك بمبلغ</v>
      </c>
      <c r="B144" s="32"/>
      <c r="C144" s="32"/>
      <c r="D144" s="33"/>
      <c r="E144" s="13">
        <f>SUM(E103:E143)</f>
        <v>0</v>
      </c>
      <c r="F144" s="29" t="str">
        <f>NoToTxt(E144,"جنيه","قرش")&amp;" لاغير  "</f>
        <v xml:space="preserve">صفر لاغير  </v>
      </c>
      <c r="G144" s="30"/>
    </row>
    <row r="145" spans="1:7" ht="18" customHeight="1" x14ac:dyDescent="0.25">
      <c r="A145" s="23" t="s">
        <v>10013</v>
      </c>
      <c r="B145" s="23"/>
      <c r="C145" s="23"/>
      <c r="D145" s="23"/>
      <c r="E145" s="23"/>
      <c r="F145" s="23"/>
      <c r="G145" s="23"/>
    </row>
    <row r="146" spans="1:7" ht="32.25" customHeight="1" x14ac:dyDescent="0.25">
      <c r="A146" s="24" t="s">
        <v>10014</v>
      </c>
      <c r="B146" s="25"/>
      <c r="C146" s="25"/>
      <c r="D146" s="25"/>
      <c r="E146" s="25"/>
      <c r="F146" s="25"/>
      <c r="G146" s="25"/>
    </row>
    <row r="147" spans="1:7" ht="18" customHeight="1" x14ac:dyDescent="0.25">
      <c r="A147" s="25"/>
      <c r="B147" s="25"/>
      <c r="C147" s="25"/>
      <c r="D147" s="25"/>
      <c r="E147" s="25"/>
      <c r="F147" s="25"/>
      <c r="G147" s="25"/>
    </row>
    <row r="148" spans="1:7" ht="33.75" customHeight="1" x14ac:dyDescent="0.25">
      <c r="A148" s="21" t="str">
        <f>A100</f>
        <v xml:space="preserve"> تابع حافظة شيكات للعملاء ملغاة  بلجنة البت في القروض المنعقدة في تاريخ</v>
      </c>
      <c r="B148" s="21"/>
      <c r="C148" s="21"/>
      <c r="D148" s="21"/>
      <c r="E148" s="21"/>
      <c r="F148" s="21"/>
      <c r="G148" s="21"/>
    </row>
    <row r="149" spans="1:7" ht="19.5" customHeight="1" x14ac:dyDescent="0.25">
      <c r="A149" s="22" t="str">
        <f>A101</f>
        <v>علي الحساب الجاري رقم /  405033714006   ببنك الأسكندرية فرع اسيوط</v>
      </c>
      <c r="B149" s="22"/>
      <c r="C149" s="22"/>
      <c r="D149" s="22"/>
      <c r="E149" s="22"/>
      <c r="F149" s="22"/>
      <c r="G149" s="22"/>
    </row>
    <row r="150" spans="1:7" ht="30" customHeight="1" x14ac:dyDescent="0.25">
      <c r="A150" s="6" t="s">
        <v>10005</v>
      </c>
      <c r="B150" s="6" t="s">
        <v>10006</v>
      </c>
      <c r="C150" s="9" t="s">
        <v>10007</v>
      </c>
      <c r="D150" s="6" t="s">
        <v>10008</v>
      </c>
      <c r="E150" s="6" t="s">
        <v>10009</v>
      </c>
      <c r="F150" s="6" t="s">
        <v>10010</v>
      </c>
      <c r="G150" s="6" t="s">
        <v>10011</v>
      </c>
    </row>
    <row r="151" spans="1:7" ht="30" customHeight="1" x14ac:dyDescent="0.25">
      <c r="A151" s="31" t="s">
        <v>10594</v>
      </c>
      <c r="B151" s="32"/>
      <c r="C151" s="32"/>
      <c r="D151" s="33"/>
      <c r="E151" s="14">
        <f>E144</f>
        <v>0</v>
      </c>
      <c r="F151" s="29" t="str">
        <f>NoToTxt(E151,"جنيه","قرش")&amp;" لاغير  "</f>
        <v xml:space="preserve">صفر لاغير  </v>
      </c>
      <c r="G151" s="30"/>
    </row>
    <row r="152" spans="1:7" ht="18" customHeight="1" x14ac:dyDescent="0.25">
      <c r="A152" s="3">
        <v>121</v>
      </c>
      <c r="B152" s="3"/>
      <c r="C152" s="10"/>
      <c r="D152" s="3"/>
      <c r="E152" s="3"/>
      <c r="F152" s="3"/>
      <c r="G152" s="3"/>
    </row>
    <row r="153" spans="1:7" ht="18" customHeight="1" x14ac:dyDescent="0.25">
      <c r="A153" s="3">
        <v>122</v>
      </c>
      <c r="B153" s="3"/>
      <c r="C153" s="10"/>
      <c r="D153" s="3"/>
      <c r="E153" s="3"/>
      <c r="F153" s="3"/>
      <c r="G153" s="3"/>
    </row>
    <row r="154" spans="1:7" ht="18" customHeight="1" x14ac:dyDescent="0.25">
      <c r="A154" s="3">
        <v>123</v>
      </c>
      <c r="B154" s="3"/>
      <c r="C154" s="10"/>
      <c r="D154" s="3"/>
      <c r="E154" s="3"/>
      <c r="F154" s="3"/>
      <c r="G154" s="3"/>
    </row>
    <row r="155" spans="1:7" ht="18" customHeight="1" x14ac:dyDescent="0.25">
      <c r="A155" s="3">
        <v>124</v>
      </c>
      <c r="B155" s="3"/>
      <c r="C155" s="10"/>
      <c r="D155" s="3"/>
      <c r="E155" s="3"/>
      <c r="F155" s="3"/>
      <c r="G155" s="3"/>
    </row>
    <row r="156" spans="1:7" ht="18" customHeight="1" x14ac:dyDescent="0.25">
      <c r="A156" s="3">
        <v>125</v>
      </c>
      <c r="B156" s="3"/>
      <c r="C156" s="10"/>
      <c r="D156" s="3"/>
      <c r="E156" s="3"/>
      <c r="F156" s="3"/>
      <c r="G156" s="3"/>
    </row>
    <row r="157" spans="1:7" ht="18" customHeight="1" x14ac:dyDescent="0.25">
      <c r="A157" s="3">
        <v>126</v>
      </c>
      <c r="B157" s="3"/>
      <c r="C157" s="10"/>
      <c r="D157" s="3"/>
      <c r="E157" s="3"/>
      <c r="F157" s="3"/>
      <c r="G157" s="3"/>
    </row>
    <row r="158" spans="1:7" ht="18" customHeight="1" x14ac:dyDescent="0.25">
      <c r="A158" s="3">
        <v>127</v>
      </c>
      <c r="B158" s="3"/>
      <c r="C158" s="10"/>
      <c r="D158" s="3"/>
      <c r="E158" s="3"/>
      <c r="F158" s="3"/>
      <c r="G158" s="3"/>
    </row>
    <row r="159" spans="1:7" ht="18" customHeight="1" x14ac:dyDescent="0.25">
      <c r="A159" s="3">
        <v>128</v>
      </c>
      <c r="B159" s="3"/>
      <c r="C159" s="10"/>
      <c r="D159" s="3"/>
      <c r="E159" s="3"/>
      <c r="F159" s="3"/>
      <c r="G159" s="3"/>
    </row>
    <row r="160" spans="1:7" ht="18" customHeight="1" x14ac:dyDescent="0.25">
      <c r="A160" s="3">
        <v>129</v>
      </c>
      <c r="B160" s="3"/>
      <c r="C160" s="10"/>
      <c r="D160" s="3"/>
      <c r="E160" s="3"/>
      <c r="F160" s="3"/>
      <c r="G160" s="3"/>
    </row>
    <row r="161" spans="1:7" ht="18" customHeight="1" x14ac:dyDescent="0.25">
      <c r="A161" s="3">
        <v>130</v>
      </c>
      <c r="B161" s="3"/>
      <c r="C161" s="10"/>
      <c r="D161" s="3"/>
      <c r="E161" s="3"/>
      <c r="F161" s="3"/>
      <c r="G161" s="3"/>
    </row>
    <row r="162" spans="1:7" ht="18" customHeight="1" x14ac:dyDescent="0.25">
      <c r="A162" s="3">
        <v>131</v>
      </c>
      <c r="B162" s="3"/>
      <c r="C162" s="10"/>
      <c r="D162" s="3"/>
      <c r="E162" s="3"/>
      <c r="F162" s="3"/>
      <c r="G162" s="3"/>
    </row>
    <row r="163" spans="1:7" ht="18" customHeight="1" x14ac:dyDescent="0.25">
      <c r="A163" s="3">
        <v>132</v>
      </c>
      <c r="B163" s="3"/>
      <c r="C163" s="10"/>
      <c r="D163" s="3"/>
      <c r="E163" s="3"/>
      <c r="F163" s="3"/>
      <c r="G163" s="3"/>
    </row>
    <row r="164" spans="1:7" ht="18" customHeight="1" x14ac:dyDescent="0.25">
      <c r="A164" s="3">
        <v>133</v>
      </c>
      <c r="B164" s="3"/>
      <c r="C164" s="10"/>
      <c r="D164" s="3"/>
      <c r="E164" s="3"/>
      <c r="F164" s="3"/>
      <c r="G164" s="3"/>
    </row>
    <row r="165" spans="1:7" ht="18" customHeight="1" x14ac:dyDescent="0.25">
      <c r="A165" s="3">
        <v>134</v>
      </c>
      <c r="B165" s="3"/>
      <c r="C165" s="10"/>
      <c r="D165" s="3"/>
      <c r="E165" s="3"/>
      <c r="F165" s="3"/>
      <c r="G165" s="3"/>
    </row>
    <row r="166" spans="1:7" ht="18" customHeight="1" x14ac:dyDescent="0.25">
      <c r="A166" s="3">
        <v>135</v>
      </c>
      <c r="B166" s="3"/>
      <c r="C166" s="10"/>
      <c r="D166" s="3"/>
      <c r="E166" s="3"/>
      <c r="F166" s="3"/>
      <c r="G166" s="3"/>
    </row>
    <row r="167" spans="1:7" ht="18" customHeight="1" x14ac:dyDescent="0.25">
      <c r="A167" s="3">
        <v>136</v>
      </c>
      <c r="B167" s="3"/>
      <c r="C167" s="10"/>
      <c r="D167" s="3"/>
      <c r="E167" s="3"/>
      <c r="F167" s="3"/>
      <c r="G167" s="3"/>
    </row>
    <row r="168" spans="1:7" ht="18" customHeight="1" x14ac:dyDescent="0.25">
      <c r="A168" s="3">
        <v>137</v>
      </c>
      <c r="B168" s="3"/>
      <c r="C168" s="10"/>
      <c r="D168" s="3"/>
      <c r="E168" s="3"/>
      <c r="F168" s="3"/>
      <c r="G168" s="3"/>
    </row>
    <row r="169" spans="1:7" ht="18" customHeight="1" x14ac:dyDescent="0.25">
      <c r="A169" s="3">
        <v>138</v>
      </c>
      <c r="B169" s="3"/>
      <c r="C169" s="10"/>
      <c r="D169" s="3"/>
      <c r="E169" s="3"/>
      <c r="F169" s="3"/>
      <c r="G169" s="3"/>
    </row>
    <row r="170" spans="1:7" ht="18" customHeight="1" x14ac:dyDescent="0.25">
      <c r="A170" s="3">
        <v>139</v>
      </c>
      <c r="B170" s="3"/>
      <c r="C170" s="10"/>
      <c r="D170" s="3"/>
      <c r="E170" s="3"/>
      <c r="F170" s="3"/>
      <c r="G170" s="3"/>
    </row>
    <row r="171" spans="1:7" ht="18" customHeight="1" x14ac:dyDescent="0.25">
      <c r="A171" s="3">
        <v>140</v>
      </c>
      <c r="B171" s="3"/>
      <c r="C171" s="10"/>
      <c r="D171" s="3"/>
      <c r="E171" s="3"/>
      <c r="F171" s="3"/>
      <c r="G171" s="3"/>
    </row>
    <row r="172" spans="1:7" ht="18" customHeight="1" x14ac:dyDescent="0.25">
      <c r="A172" s="3">
        <v>141</v>
      </c>
      <c r="B172" s="3"/>
      <c r="C172" s="10"/>
      <c r="D172" s="3"/>
      <c r="E172" s="3"/>
      <c r="F172" s="3"/>
      <c r="G172" s="3"/>
    </row>
    <row r="173" spans="1:7" ht="18" customHeight="1" x14ac:dyDescent="0.25">
      <c r="A173" s="3">
        <v>142</v>
      </c>
      <c r="B173" s="3"/>
      <c r="C173" s="10"/>
      <c r="D173" s="3"/>
      <c r="E173" s="3"/>
      <c r="F173" s="3"/>
      <c r="G173" s="3"/>
    </row>
    <row r="174" spans="1:7" ht="18" customHeight="1" x14ac:dyDescent="0.25">
      <c r="A174" s="3">
        <v>143</v>
      </c>
      <c r="B174" s="3"/>
      <c r="C174" s="10"/>
      <c r="D174" s="3"/>
      <c r="E174" s="3"/>
      <c r="F174" s="3"/>
      <c r="G174" s="3"/>
    </row>
    <row r="175" spans="1:7" ht="18" customHeight="1" x14ac:dyDescent="0.25">
      <c r="A175" s="3">
        <v>144</v>
      </c>
      <c r="B175" s="3"/>
      <c r="C175" s="10"/>
      <c r="D175" s="3"/>
      <c r="E175" s="3"/>
      <c r="F175" s="3"/>
      <c r="G175" s="3"/>
    </row>
    <row r="176" spans="1:7" ht="18" customHeight="1" x14ac:dyDescent="0.25">
      <c r="A176" s="3">
        <v>145</v>
      </c>
      <c r="B176" s="3"/>
      <c r="C176" s="10"/>
      <c r="D176" s="3"/>
      <c r="E176" s="3"/>
      <c r="F176" s="3"/>
      <c r="G176" s="3"/>
    </row>
    <row r="177" spans="1:7" ht="18" customHeight="1" x14ac:dyDescent="0.25">
      <c r="A177" s="3">
        <v>146</v>
      </c>
      <c r="B177" s="3"/>
      <c r="C177" s="10"/>
      <c r="D177" s="3"/>
      <c r="E177" s="3"/>
      <c r="F177" s="3"/>
      <c r="G177" s="3"/>
    </row>
    <row r="178" spans="1:7" ht="18" customHeight="1" x14ac:dyDescent="0.25">
      <c r="A178" s="3">
        <v>147</v>
      </c>
      <c r="B178" s="3"/>
      <c r="C178" s="10"/>
      <c r="D178" s="3"/>
      <c r="E178" s="3"/>
      <c r="F178" s="3"/>
      <c r="G178" s="3"/>
    </row>
    <row r="179" spans="1:7" ht="18" customHeight="1" x14ac:dyDescent="0.25">
      <c r="A179" s="3">
        <v>148</v>
      </c>
      <c r="B179" s="3"/>
      <c r="C179" s="10"/>
      <c r="D179" s="3"/>
      <c r="E179" s="3"/>
      <c r="F179" s="3"/>
      <c r="G179" s="3"/>
    </row>
    <row r="180" spans="1:7" ht="18" customHeight="1" x14ac:dyDescent="0.25">
      <c r="A180" s="3">
        <v>149</v>
      </c>
      <c r="B180" s="3"/>
      <c r="C180" s="10"/>
      <c r="D180" s="3"/>
      <c r="E180" s="3"/>
      <c r="F180" s="3"/>
      <c r="G180" s="3"/>
    </row>
    <row r="181" spans="1:7" ht="18" customHeight="1" x14ac:dyDescent="0.25">
      <c r="A181" s="3">
        <v>150</v>
      </c>
      <c r="B181" s="3"/>
      <c r="C181" s="10"/>
      <c r="D181" s="3"/>
      <c r="E181" s="3"/>
      <c r="F181" s="3"/>
      <c r="G181" s="3"/>
    </row>
    <row r="182" spans="1:7" ht="18" customHeight="1" x14ac:dyDescent="0.25">
      <c r="A182" s="3">
        <v>151</v>
      </c>
      <c r="B182" s="3"/>
      <c r="C182" s="10"/>
      <c r="D182" s="3"/>
      <c r="E182" s="3"/>
      <c r="F182" s="3"/>
      <c r="G182" s="3"/>
    </row>
    <row r="183" spans="1:7" ht="18" customHeight="1" x14ac:dyDescent="0.25">
      <c r="A183" s="3">
        <v>152</v>
      </c>
      <c r="B183" s="3"/>
      <c r="C183" s="10"/>
      <c r="D183" s="3"/>
      <c r="E183" s="3"/>
      <c r="F183" s="3"/>
      <c r="G183" s="3"/>
    </row>
    <row r="184" spans="1:7" ht="18" customHeight="1" x14ac:dyDescent="0.25">
      <c r="A184" s="3">
        <v>153</v>
      </c>
      <c r="B184" s="3"/>
      <c r="C184" s="10"/>
      <c r="D184" s="3"/>
      <c r="E184" s="3"/>
      <c r="F184" s="3"/>
      <c r="G184" s="3"/>
    </row>
    <row r="185" spans="1:7" ht="18" customHeight="1" x14ac:dyDescent="0.25">
      <c r="A185" s="3">
        <v>154</v>
      </c>
      <c r="B185" s="3"/>
      <c r="C185" s="10"/>
      <c r="D185" s="3"/>
      <c r="E185" s="3"/>
      <c r="F185" s="3"/>
      <c r="G185" s="3"/>
    </row>
    <row r="186" spans="1:7" ht="18" customHeight="1" x14ac:dyDescent="0.25">
      <c r="A186" s="3">
        <v>155</v>
      </c>
      <c r="B186" s="3"/>
      <c r="C186" s="10"/>
      <c r="D186" s="3"/>
      <c r="E186" s="3"/>
      <c r="F186" s="3"/>
      <c r="G186" s="3"/>
    </row>
    <row r="187" spans="1:7" ht="18" customHeight="1" x14ac:dyDescent="0.25">
      <c r="A187" s="3">
        <v>156</v>
      </c>
      <c r="B187" s="3"/>
      <c r="C187" s="10"/>
      <c r="D187" s="3"/>
      <c r="E187" s="3"/>
      <c r="F187" s="3"/>
      <c r="G187" s="3"/>
    </row>
    <row r="188" spans="1:7" ht="18" customHeight="1" x14ac:dyDescent="0.25">
      <c r="A188" s="3">
        <v>157</v>
      </c>
      <c r="B188" s="3"/>
      <c r="C188" s="10"/>
      <c r="D188" s="3"/>
      <c r="E188" s="3"/>
      <c r="F188" s="3"/>
      <c r="G188" s="3"/>
    </row>
    <row r="189" spans="1:7" ht="18" customHeight="1" x14ac:dyDescent="0.25">
      <c r="A189" s="3">
        <v>158</v>
      </c>
      <c r="B189" s="3"/>
      <c r="C189" s="10"/>
      <c r="D189" s="3"/>
      <c r="E189" s="3"/>
      <c r="F189" s="3"/>
      <c r="G189" s="3"/>
    </row>
    <row r="190" spans="1:7" ht="18" customHeight="1" x14ac:dyDescent="0.25">
      <c r="A190" s="3">
        <v>159</v>
      </c>
      <c r="B190" s="3"/>
      <c r="C190" s="10"/>
      <c r="D190" s="3"/>
      <c r="E190" s="3"/>
      <c r="F190" s="3"/>
      <c r="G190" s="3"/>
    </row>
    <row r="191" spans="1:7" ht="18" customHeight="1" x14ac:dyDescent="0.25">
      <c r="A191" s="3">
        <v>160</v>
      </c>
      <c r="B191" s="3"/>
      <c r="C191" s="10"/>
      <c r="D191" s="3"/>
      <c r="E191" s="3"/>
      <c r="F191" s="3"/>
      <c r="G191" s="3"/>
    </row>
    <row r="192" spans="1:7" ht="33" customHeight="1" x14ac:dyDescent="0.25">
      <c r="A192" s="31" t="str">
        <f>"اجمالى عدد "&amp;COUNTIF(C152:C191,"*")&amp;" شيك بمبلغ"</f>
        <v>اجمالى عدد 0 شيك بمبلغ</v>
      </c>
      <c r="B192" s="32"/>
      <c r="C192" s="32"/>
      <c r="D192" s="33"/>
      <c r="E192" s="13">
        <f>SUM(E151:E191)</f>
        <v>0</v>
      </c>
      <c r="F192" s="29" t="str">
        <f>NoToTxt(E192,"جنيه","قرش")&amp;" لاغير  "</f>
        <v xml:space="preserve">صفر لاغير  </v>
      </c>
      <c r="G192" s="30"/>
    </row>
    <row r="193" spans="1:7" ht="18" customHeight="1" x14ac:dyDescent="0.25">
      <c r="A193" s="23" t="s">
        <v>10013</v>
      </c>
      <c r="B193" s="23"/>
      <c r="C193" s="23"/>
      <c r="D193" s="23"/>
      <c r="E193" s="23"/>
      <c r="F193" s="23"/>
      <c r="G193" s="23"/>
    </row>
    <row r="194" spans="1:7" ht="32.25" customHeight="1" x14ac:dyDescent="0.25">
      <c r="A194" s="24" t="s">
        <v>10014</v>
      </c>
      <c r="B194" s="25"/>
      <c r="C194" s="25"/>
      <c r="D194" s="25"/>
      <c r="E194" s="25"/>
      <c r="F194" s="25"/>
      <c r="G194" s="25"/>
    </row>
    <row r="195" spans="1:7" ht="18" customHeight="1" x14ac:dyDescent="0.25">
      <c r="A195" s="25"/>
      <c r="B195" s="25"/>
      <c r="C195" s="25"/>
      <c r="D195" s="25"/>
      <c r="E195" s="25"/>
      <c r="F195" s="25"/>
      <c r="G195" s="25"/>
    </row>
    <row r="196" spans="1:7" ht="33.75" customHeight="1" x14ac:dyDescent="0.25">
      <c r="A196" s="21" t="str">
        <f>A148</f>
        <v xml:space="preserve"> تابع حافظة شيكات للعملاء ملغاة  بلجنة البت في القروض المنعقدة في تاريخ</v>
      </c>
      <c r="B196" s="21"/>
      <c r="C196" s="21"/>
      <c r="D196" s="21"/>
      <c r="E196" s="21"/>
      <c r="F196" s="21"/>
      <c r="G196" s="21"/>
    </row>
    <row r="197" spans="1:7" ht="19.5" customHeight="1" x14ac:dyDescent="0.25">
      <c r="A197" s="22" t="str">
        <f>A149</f>
        <v>علي الحساب الجاري رقم /  405033714006   ببنك الأسكندرية فرع اسيوط</v>
      </c>
      <c r="B197" s="22"/>
      <c r="C197" s="22"/>
      <c r="D197" s="22"/>
      <c r="E197" s="22"/>
      <c r="F197" s="22"/>
      <c r="G197" s="22"/>
    </row>
    <row r="198" spans="1:7" ht="30" customHeight="1" x14ac:dyDescent="0.25">
      <c r="A198" s="6" t="s">
        <v>10005</v>
      </c>
      <c r="B198" s="6" t="s">
        <v>10006</v>
      </c>
      <c r="C198" s="9" t="s">
        <v>10007</v>
      </c>
      <c r="D198" s="6" t="s">
        <v>10008</v>
      </c>
      <c r="E198" s="6" t="s">
        <v>10009</v>
      </c>
      <c r="F198" s="6" t="s">
        <v>10010</v>
      </c>
      <c r="G198" s="6" t="s">
        <v>10011</v>
      </c>
    </row>
    <row r="199" spans="1:7" ht="30" customHeight="1" x14ac:dyDescent="0.25">
      <c r="A199" s="31" t="s">
        <v>10595</v>
      </c>
      <c r="B199" s="32"/>
      <c r="C199" s="32"/>
      <c r="D199" s="33"/>
      <c r="E199" s="14">
        <f>E192</f>
        <v>0</v>
      </c>
      <c r="F199" s="29" t="str">
        <f>NoToTxt(E199,"جنيه","قرش")&amp;" لاغير  "</f>
        <v xml:space="preserve">صفر لاغير  </v>
      </c>
      <c r="G199" s="30"/>
    </row>
    <row r="200" spans="1:7" ht="18" customHeight="1" x14ac:dyDescent="0.25">
      <c r="A200" s="3">
        <v>161</v>
      </c>
      <c r="B200" s="3"/>
      <c r="C200" s="10"/>
      <c r="D200" s="3"/>
      <c r="E200" s="3"/>
      <c r="F200" s="3"/>
      <c r="G200" s="3"/>
    </row>
    <row r="201" spans="1:7" ht="18" customHeight="1" x14ac:dyDescent="0.25">
      <c r="A201" s="3">
        <v>162</v>
      </c>
      <c r="B201" s="3"/>
      <c r="C201" s="10"/>
      <c r="D201" s="3"/>
      <c r="E201" s="3"/>
      <c r="F201" s="3"/>
      <c r="G201" s="3"/>
    </row>
    <row r="202" spans="1:7" ht="18" customHeight="1" x14ac:dyDescent="0.25">
      <c r="A202" s="3">
        <v>163</v>
      </c>
      <c r="B202" s="3"/>
      <c r="C202" s="10"/>
      <c r="D202" s="3"/>
      <c r="E202" s="3"/>
      <c r="F202" s="3"/>
      <c r="G202" s="3"/>
    </row>
    <row r="203" spans="1:7" ht="18" customHeight="1" x14ac:dyDescent="0.25">
      <c r="A203" s="3">
        <v>164</v>
      </c>
      <c r="B203" s="3"/>
      <c r="C203" s="10"/>
      <c r="D203" s="3"/>
      <c r="E203" s="3"/>
      <c r="F203" s="3"/>
      <c r="G203" s="3"/>
    </row>
    <row r="204" spans="1:7" ht="18" customHeight="1" x14ac:dyDescent="0.25">
      <c r="A204" s="3">
        <v>165</v>
      </c>
      <c r="B204" s="3"/>
      <c r="C204" s="10"/>
      <c r="D204" s="3"/>
      <c r="E204" s="3"/>
      <c r="F204" s="3"/>
      <c r="G204" s="3"/>
    </row>
    <row r="205" spans="1:7" ht="18" customHeight="1" x14ac:dyDescent="0.25">
      <c r="A205" s="3">
        <v>166</v>
      </c>
      <c r="B205" s="3"/>
      <c r="C205" s="10"/>
      <c r="D205" s="3"/>
      <c r="E205" s="3"/>
      <c r="F205" s="3"/>
      <c r="G205" s="3"/>
    </row>
    <row r="206" spans="1:7" ht="18" customHeight="1" x14ac:dyDescent="0.25">
      <c r="A206" s="3">
        <v>167</v>
      </c>
      <c r="B206" s="3"/>
      <c r="C206" s="10"/>
      <c r="D206" s="3"/>
      <c r="E206" s="3"/>
      <c r="F206" s="3"/>
      <c r="G206" s="3"/>
    </row>
    <row r="207" spans="1:7" ht="18" customHeight="1" x14ac:dyDescent="0.25">
      <c r="A207" s="3">
        <v>168</v>
      </c>
      <c r="B207" s="3"/>
      <c r="C207" s="10"/>
      <c r="D207" s="3"/>
      <c r="E207" s="3"/>
      <c r="F207" s="3"/>
      <c r="G207" s="3"/>
    </row>
    <row r="208" spans="1:7" ht="18" customHeight="1" x14ac:dyDescent="0.25">
      <c r="A208" s="3">
        <v>169</v>
      </c>
      <c r="B208" s="3"/>
      <c r="C208" s="10"/>
      <c r="D208" s="3"/>
      <c r="E208" s="3"/>
      <c r="F208" s="3"/>
      <c r="G208" s="3"/>
    </row>
    <row r="209" spans="1:7" ht="18" customHeight="1" x14ac:dyDescent="0.25">
      <c r="A209" s="3">
        <v>170</v>
      </c>
      <c r="B209" s="3"/>
      <c r="C209" s="10"/>
      <c r="D209" s="3"/>
      <c r="E209" s="3"/>
      <c r="F209" s="3"/>
      <c r="G209" s="3"/>
    </row>
    <row r="210" spans="1:7" ht="18" customHeight="1" x14ac:dyDescent="0.25">
      <c r="A210" s="3">
        <v>171</v>
      </c>
      <c r="B210" s="3"/>
      <c r="C210" s="10"/>
      <c r="D210" s="3"/>
      <c r="E210" s="3"/>
      <c r="F210" s="3"/>
      <c r="G210" s="3"/>
    </row>
    <row r="211" spans="1:7" ht="18" customHeight="1" x14ac:dyDescent="0.25">
      <c r="A211" s="3">
        <v>172</v>
      </c>
      <c r="B211" s="3"/>
      <c r="C211" s="10"/>
      <c r="D211" s="3"/>
      <c r="E211" s="3"/>
      <c r="F211" s="3"/>
      <c r="G211" s="3"/>
    </row>
    <row r="212" spans="1:7" ht="18" customHeight="1" x14ac:dyDescent="0.25">
      <c r="A212" s="3">
        <v>173</v>
      </c>
      <c r="B212" s="3"/>
      <c r="C212" s="10"/>
      <c r="D212" s="3"/>
      <c r="E212" s="3"/>
      <c r="F212" s="3"/>
      <c r="G212" s="3"/>
    </row>
    <row r="213" spans="1:7" ht="18" customHeight="1" x14ac:dyDescent="0.25">
      <c r="A213" s="3">
        <v>174</v>
      </c>
      <c r="B213" s="3"/>
      <c r="C213" s="10"/>
      <c r="D213" s="3"/>
      <c r="E213" s="3"/>
      <c r="F213" s="3"/>
      <c r="G213" s="3"/>
    </row>
    <row r="214" spans="1:7" ht="18" customHeight="1" x14ac:dyDescent="0.25">
      <c r="A214" s="3">
        <v>175</v>
      </c>
      <c r="B214" s="3"/>
      <c r="C214" s="10"/>
      <c r="D214" s="3"/>
      <c r="E214" s="3"/>
      <c r="F214" s="3"/>
      <c r="G214" s="3"/>
    </row>
    <row r="215" spans="1:7" ht="18" customHeight="1" x14ac:dyDescent="0.25">
      <c r="A215" s="3">
        <v>176</v>
      </c>
      <c r="B215" s="3"/>
      <c r="C215" s="10"/>
      <c r="D215" s="3"/>
      <c r="E215" s="3"/>
      <c r="F215" s="3"/>
      <c r="G215" s="3"/>
    </row>
    <row r="216" spans="1:7" ht="18" customHeight="1" x14ac:dyDescent="0.25">
      <c r="A216" s="3">
        <v>177</v>
      </c>
      <c r="B216" s="3"/>
      <c r="C216" s="10"/>
      <c r="D216" s="3"/>
      <c r="E216" s="3"/>
      <c r="F216" s="3"/>
      <c r="G216" s="3"/>
    </row>
    <row r="217" spans="1:7" ht="18" customHeight="1" x14ac:dyDescent="0.25">
      <c r="A217" s="3">
        <v>178</v>
      </c>
      <c r="B217" s="3"/>
      <c r="C217" s="10"/>
      <c r="D217" s="3"/>
      <c r="E217" s="3"/>
      <c r="F217" s="3"/>
      <c r="G217" s="3"/>
    </row>
    <row r="218" spans="1:7" ht="18" customHeight="1" x14ac:dyDescent="0.25">
      <c r="A218" s="3">
        <v>179</v>
      </c>
      <c r="B218" s="3"/>
      <c r="C218" s="10"/>
      <c r="D218" s="3"/>
      <c r="E218" s="3"/>
      <c r="F218" s="3"/>
      <c r="G218" s="3"/>
    </row>
    <row r="219" spans="1:7" ht="18" customHeight="1" x14ac:dyDescent="0.25">
      <c r="A219" s="3">
        <v>180</v>
      </c>
      <c r="B219" s="3"/>
      <c r="C219" s="10"/>
      <c r="D219" s="3"/>
      <c r="E219" s="3"/>
      <c r="F219" s="3"/>
      <c r="G219" s="3"/>
    </row>
    <row r="220" spans="1:7" ht="18" customHeight="1" x14ac:dyDescent="0.25">
      <c r="A220" s="3">
        <v>181</v>
      </c>
      <c r="B220" s="3"/>
      <c r="C220" s="10"/>
      <c r="D220" s="3"/>
      <c r="E220" s="3"/>
      <c r="F220" s="3"/>
      <c r="G220" s="3"/>
    </row>
    <row r="221" spans="1:7" ht="18" customHeight="1" x14ac:dyDescent="0.25">
      <c r="A221" s="3">
        <v>182</v>
      </c>
      <c r="B221" s="3"/>
      <c r="C221" s="10"/>
      <c r="D221" s="3"/>
      <c r="E221" s="3"/>
      <c r="F221" s="3"/>
      <c r="G221" s="3"/>
    </row>
    <row r="222" spans="1:7" ht="18" customHeight="1" x14ac:dyDescent="0.25">
      <c r="A222" s="3">
        <v>183</v>
      </c>
      <c r="B222" s="3"/>
      <c r="C222" s="10"/>
      <c r="D222" s="3"/>
      <c r="E222" s="3"/>
      <c r="F222" s="3"/>
      <c r="G222" s="3"/>
    </row>
    <row r="223" spans="1:7" ht="18" customHeight="1" x14ac:dyDescent="0.25">
      <c r="A223" s="3">
        <v>184</v>
      </c>
      <c r="B223" s="3"/>
      <c r="C223" s="10"/>
      <c r="D223" s="3"/>
      <c r="E223" s="3"/>
      <c r="F223" s="3"/>
      <c r="G223" s="3"/>
    </row>
    <row r="224" spans="1:7" ht="18" customHeight="1" x14ac:dyDescent="0.25">
      <c r="A224" s="3">
        <v>185</v>
      </c>
      <c r="B224" s="3"/>
      <c r="C224" s="10"/>
      <c r="D224" s="3"/>
      <c r="E224" s="3"/>
      <c r="F224" s="3"/>
      <c r="G224" s="3"/>
    </row>
    <row r="225" spans="1:7" ht="18" customHeight="1" x14ac:dyDescent="0.25">
      <c r="A225" s="3">
        <v>186</v>
      </c>
      <c r="B225" s="3"/>
      <c r="C225" s="10"/>
      <c r="D225" s="3"/>
      <c r="E225" s="3"/>
      <c r="F225" s="3"/>
      <c r="G225" s="3"/>
    </row>
    <row r="226" spans="1:7" ht="18" customHeight="1" x14ac:dyDescent="0.25">
      <c r="A226" s="3">
        <v>187</v>
      </c>
      <c r="B226" s="3"/>
      <c r="C226" s="10"/>
      <c r="D226" s="3"/>
      <c r="E226" s="3"/>
      <c r="F226" s="3"/>
      <c r="G226" s="3"/>
    </row>
    <row r="227" spans="1:7" ht="18" customHeight="1" x14ac:dyDescent="0.25">
      <c r="A227" s="3">
        <v>188</v>
      </c>
      <c r="B227" s="3"/>
      <c r="C227" s="10"/>
      <c r="D227" s="3"/>
      <c r="E227" s="3"/>
      <c r="F227" s="3"/>
      <c r="G227" s="3"/>
    </row>
    <row r="228" spans="1:7" ht="18" customHeight="1" x14ac:dyDescent="0.25">
      <c r="A228" s="3">
        <v>189</v>
      </c>
      <c r="B228" s="3"/>
      <c r="C228" s="10"/>
      <c r="D228" s="3"/>
      <c r="E228" s="3"/>
      <c r="F228" s="3"/>
      <c r="G228" s="3"/>
    </row>
    <row r="229" spans="1:7" ht="18" customHeight="1" x14ac:dyDescent="0.25">
      <c r="A229" s="3">
        <v>190</v>
      </c>
      <c r="B229" s="3"/>
      <c r="C229" s="10"/>
      <c r="D229" s="3"/>
      <c r="E229" s="3"/>
      <c r="F229" s="3"/>
      <c r="G229" s="3"/>
    </row>
    <row r="230" spans="1:7" ht="18" customHeight="1" x14ac:dyDescent="0.25">
      <c r="A230" s="3">
        <v>191</v>
      </c>
      <c r="B230" s="3"/>
      <c r="C230" s="10"/>
      <c r="D230" s="3"/>
      <c r="E230" s="3"/>
      <c r="F230" s="3"/>
      <c r="G230" s="3"/>
    </row>
    <row r="231" spans="1:7" ht="18" customHeight="1" x14ac:dyDescent="0.25">
      <c r="A231" s="3">
        <v>192</v>
      </c>
      <c r="B231" s="3"/>
      <c r="C231" s="10"/>
      <c r="D231" s="3"/>
      <c r="E231" s="3"/>
      <c r="F231" s="3"/>
      <c r="G231" s="3"/>
    </row>
    <row r="232" spans="1:7" ht="18" customHeight="1" x14ac:dyDescent="0.25">
      <c r="A232" s="3">
        <v>193</v>
      </c>
      <c r="B232" s="3"/>
      <c r="C232" s="10"/>
      <c r="D232" s="3"/>
      <c r="E232" s="3"/>
      <c r="F232" s="3"/>
      <c r="G232" s="3"/>
    </row>
    <row r="233" spans="1:7" ht="18" customHeight="1" x14ac:dyDescent="0.25">
      <c r="A233" s="3">
        <v>194</v>
      </c>
      <c r="B233" s="3"/>
      <c r="C233" s="10"/>
      <c r="D233" s="3"/>
      <c r="E233" s="3"/>
      <c r="F233" s="3"/>
      <c r="G233" s="3"/>
    </row>
    <row r="234" spans="1:7" ht="18" customHeight="1" x14ac:dyDescent="0.25">
      <c r="A234" s="3">
        <v>195</v>
      </c>
      <c r="B234" s="3"/>
      <c r="C234" s="10"/>
      <c r="D234" s="3"/>
      <c r="E234" s="3"/>
      <c r="F234" s="3"/>
      <c r="G234" s="3"/>
    </row>
    <row r="235" spans="1:7" ht="18" customHeight="1" x14ac:dyDescent="0.25">
      <c r="A235" s="3">
        <v>196</v>
      </c>
      <c r="B235" s="3"/>
      <c r="C235" s="10"/>
      <c r="D235" s="3"/>
      <c r="E235" s="3"/>
      <c r="F235" s="3"/>
      <c r="G235" s="3"/>
    </row>
    <row r="236" spans="1:7" ht="18" customHeight="1" x14ac:dyDescent="0.25">
      <c r="A236" s="3">
        <v>197</v>
      </c>
      <c r="B236" s="3"/>
      <c r="C236" s="10"/>
      <c r="D236" s="3"/>
      <c r="E236" s="3"/>
      <c r="F236" s="3"/>
      <c r="G236" s="3"/>
    </row>
    <row r="237" spans="1:7" ht="18" customHeight="1" x14ac:dyDescent="0.25">
      <c r="A237" s="3">
        <v>198</v>
      </c>
      <c r="B237" s="3"/>
      <c r="C237" s="10"/>
      <c r="D237" s="3"/>
      <c r="E237" s="3"/>
      <c r="F237" s="3"/>
      <c r="G237" s="3"/>
    </row>
    <row r="238" spans="1:7" ht="18" customHeight="1" x14ac:dyDescent="0.25">
      <c r="A238" s="3">
        <v>199</v>
      </c>
      <c r="B238" s="3"/>
      <c r="C238" s="10"/>
      <c r="D238" s="3"/>
      <c r="E238" s="3"/>
      <c r="F238" s="3"/>
      <c r="G238" s="3"/>
    </row>
    <row r="239" spans="1:7" ht="18" customHeight="1" x14ac:dyDescent="0.25">
      <c r="A239" s="3">
        <v>200</v>
      </c>
      <c r="B239" s="3"/>
      <c r="C239" s="10"/>
      <c r="D239" s="3"/>
      <c r="E239" s="3"/>
      <c r="F239" s="3"/>
      <c r="G239" s="3"/>
    </row>
    <row r="240" spans="1:7" ht="33" customHeight="1" x14ac:dyDescent="0.25">
      <c r="A240" s="31" t="str">
        <f>"اجمالى عدد "&amp;COUNTIF(C200:C239,"*")&amp;" شيك بمبلغ"</f>
        <v>اجمالى عدد 0 شيك بمبلغ</v>
      </c>
      <c r="B240" s="32"/>
      <c r="C240" s="32"/>
      <c r="D240" s="33"/>
      <c r="E240" s="13">
        <f>SUM(E199:E239)</f>
        <v>0</v>
      </c>
      <c r="F240" s="29" t="str">
        <f>NoToTxt(E240,"جنيه","قرش")&amp;" لاغير  "</f>
        <v xml:space="preserve">صفر لاغير  </v>
      </c>
      <c r="G240" s="30"/>
    </row>
    <row r="241" spans="1:7" ht="18" customHeight="1" x14ac:dyDescent="0.25">
      <c r="A241" s="23" t="s">
        <v>10013</v>
      </c>
      <c r="B241" s="23"/>
      <c r="C241" s="23"/>
      <c r="D241" s="23"/>
      <c r="E241" s="23"/>
      <c r="F241" s="23"/>
      <c r="G241" s="23"/>
    </row>
    <row r="242" spans="1:7" ht="32.25" customHeight="1" x14ac:dyDescent="0.25">
      <c r="A242" s="24" t="s">
        <v>10014</v>
      </c>
      <c r="B242" s="25"/>
      <c r="C242" s="25"/>
      <c r="D242" s="25"/>
      <c r="E242" s="25"/>
      <c r="F242" s="25"/>
      <c r="G242" s="25"/>
    </row>
    <row r="243" spans="1:7" ht="18" customHeight="1" x14ac:dyDescent="0.25">
      <c r="A243" s="25"/>
      <c r="B243" s="25"/>
      <c r="C243" s="25"/>
      <c r="D243" s="25"/>
      <c r="E243" s="25"/>
      <c r="F243" s="25"/>
      <c r="G243" s="25"/>
    </row>
    <row r="244" spans="1:7" ht="33.75" customHeight="1" x14ac:dyDescent="0.25">
      <c r="A244" s="21" t="str">
        <f>A196</f>
        <v xml:space="preserve"> تابع حافظة شيكات للعملاء ملغاة  بلجنة البت في القروض المنعقدة في تاريخ</v>
      </c>
      <c r="B244" s="21"/>
      <c r="C244" s="21"/>
      <c r="D244" s="21"/>
      <c r="E244" s="21"/>
      <c r="F244" s="21"/>
      <c r="G244" s="21"/>
    </row>
    <row r="245" spans="1:7" ht="19.5" customHeight="1" x14ac:dyDescent="0.25">
      <c r="A245" s="22" t="str">
        <f>A197</f>
        <v>علي الحساب الجاري رقم /  405033714006   ببنك الأسكندرية فرع اسيوط</v>
      </c>
      <c r="B245" s="22"/>
      <c r="C245" s="22"/>
      <c r="D245" s="22"/>
      <c r="E245" s="22"/>
      <c r="F245" s="22"/>
      <c r="G245" s="22"/>
    </row>
    <row r="246" spans="1:7" ht="30" customHeight="1" x14ac:dyDescent="0.25">
      <c r="A246" s="6" t="s">
        <v>10005</v>
      </c>
      <c r="B246" s="6" t="s">
        <v>10006</v>
      </c>
      <c r="C246" s="9" t="s">
        <v>10007</v>
      </c>
      <c r="D246" s="6" t="s">
        <v>10008</v>
      </c>
      <c r="E246" s="6" t="s">
        <v>10009</v>
      </c>
      <c r="F246" s="6" t="s">
        <v>10010</v>
      </c>
      <c r="G246" s="6" t="s">
        <v>10011</v>
      </c>
    </row>
    <row r="247" spans="1:7" ht="30" customHeight="1" x14ac:dyDescent="0.25">
      <c r="A247" s="31" t="s">
        <v>10596</v>
      </c>
      <c r="B247" s="32"/>
      <c r="C247" s="32"/>
      <c r="D247" s="33"/>
      <c r="E247" s="14">
        <f>E240</f>
        <v>0</v>
      </c>
      <c r="F247" s="29" t="str">
        <f>NoToTxt(E247,"جنيه","قرش")&amp;" لاغير  "</f>
        <v xml:space="preserve">صفر لاغير  </v>
      </c>
      <c r="G247" s="30"/>
    </row>
    <row r="248" spans="1:7" ht="18" customHeight="1" x14ac:dyDescent="0.25">
      <c r="A248" s="3">
        <v>201</v>
      </c>
      <c r="B248" s="3"/>
      <c r="C248" s="10"/>
      <c r="D248" s="3"/>
      <c r="E248" s="3"/>
      <c r="F248" s="3"/>
      <c r="G248" s="3"/>
    </row>
    <row r="249" spans="1:7" ht="18" customHeight="1" x14ac:dyDescent="0.25">
      <c r="A249" s="3">
        <v>202</v>
      </c>
      <c r="B249" s="3"/>
      <c r="C249" s="10"/>
      <c r="D249" s="3"/>
      <c r="E249" s="3"/>
      <c r="F249" s="3"/>
      <c r="G249" s="3"/>
    </row>
    <row r="250" spans="1:7" ht="18" customHeight="1" x14ac:dyDescent="0.25">
      <c r="A250" s="3">
        <v>203</v>
      </c>
      <c r="B250" s="3"/>
      <c r="C250" s="10"/>
      <c r="D250" s="3"/>
      <c r="E250" s="3"/>
      <c r="F250" s="3"/>
      <c r="G250" s="3"/>
    </row>
    <row r="251" spans="1:7" ht="18" customHeight="1" x14ac:dyDescent="0.25">
      <c r="A251" s="3">
        <v>204</v>
      </c>
      <c r="B251" s="3"/>
      <c r="C251" s="10"/>
      <c r="D251" s="3"/>
      <c r="E251" s="3"/>
      <c r="F251" s="3"/>
      <c r="G251" s="3"/>
    </row>
    <row r="252" spans="1:7" ht="18" customHeight="1" x14ac:dyDescent="0.25">
      <c r="A252" s="3">
        <v>205</v>
      </c>
      <c r="B252" s="3"/>
      <c r="C252" s="10"/>
      <c r="D252" s="3"/>
      <c r="E252" s="3"/>
      <c r="F252" s="3"/>
      <c r="G252" s="3"/>
    </row>
    <row r="253" spans="1:7" ht="18" customHeight="1" x14ac:dyDescent="0.25">
      <c r="A253" s="3">
        <v>206</v>
      </c>
      <c r="B253" s="3"/>
      <c r="C253" s="10"/>
      <c r="D253" s="3"/>
      <c r="E253" s="3"/>
      <c r="F253" s="3"/>
      <c r="G253" s="3"/>
    </row>
    <row r="254" spans="1:7" ht="18" customHeight="1" x14ac:dyDescent="0.25">
      <c r="A254" s="3">
        <v>207</v>
      </c>
      <c r="B254" s="3"/>
      <c r="C254" s="10"/>
      <c r="D254" s="3"/>
      <c r="E254" s="3"/>
      <c r="F254" s="3"/>
      <c r="G254" s="3"/>
    </row>
    <row r="255" spans="1:7" ht="18" customHeight="1" x14ac:dyDescent="0.25">
      <c r="A255" s="3">
        <v>208</v>
      </c>
      <c r="B255" s="3"/>
      <c r="C255" s="10"/>
      <c r="D255" s="3"/>
      <c r="E255" s="3"/>
      <c r="F255" s="3"/>
      <c r="G255" s="3"/>
    </row>
    <row r="256" spans="1:7" ht="18" customHeight="1" x14ac:dyDescent="0.25">
      <c r="A256" s="3">
        <v>209</v>
      </c>
      <c r="B256" s="3"/>
      <c r="C256" s="10"/>
      <c r="D256" s="3"/>
      <c r="E256" s="3"/>
      <c r="F256" s="3"/>
      <c r="G256" s="3"/>
    </row>
    <row r="257" spans="1:7" ht="18" customHeight="1" x14ac:dyDescent="0.25">
      <c r="A257" s="3">
        <v>210</v>
      </c>
      <c r="B257" s="3"/>
      <c r="C257" s="10"/>
      <c r="D257" s="3"/>
      <c r="E257" s="3"/>
      <c r="F257" s="3"/>
      <c r="G257" s="3"/>
    </row>
    <row r="258" spans="1:7" ht="18" customHeight="1" x14ac:dyDescent="0.25">
      <c r="A258" s="3">
        <v>211</v>
      </c>
      <c r="B258" s="3"/>
      <c r="C258" s="10"/>
      <c r="D258" s="3"/>
      <c r="E258" s="3"/>
      <c r="F258" s="3"/>
      <c r="G258" s="3"/>
    </row>
    <row r="259" spans="1:7" ht="18" customHeight="1" x14ac:dyDescent="0.25">
      <c r="A259" s="3">
        <v>212</v>
      </c>
      <c r="B259" s="3"/>
      <c r="C259" s="10"/>
      <c r="D259" s="3"/>
      <c r="E259" s="3"/>
      <c r="F259" s="3"/>
      <c r="G259" s="3"/>
    </row>
    <row r="260" spans="1:7" ht="18" customHeight="1" x14ac:dyDescent="0.25">
      <c r="A260" s="3">
        <v>213</v>
      </c>
      <c r="B260" s="3"/>
      <c r="C260" s="10"/>
      <c r="D260" s="3"/>
      <c r="E260" s="3"/>
      <c r="F260" s="3"/>
      <c r="G260" s="3"/>
    </row>
    <row r="261" spans="1:7" ht="18" customHeight="1" x14ac:dyDescent="0.25">
      <c r="A261" s="3">
        <v>214</v>
      </c>
      <c r="B261" s="3"/>
      <c r="C261" s="10"/>
      <c r="D261" s="3"/>
      <c r="E261" s="3"/>
      <c r="F261" s="3"/>
      <c r="G261" s="3"/>
    </row>
    <row r="262" spans="1:7" ht="18" customHeight="1" x14ac:dyDescent="0.25">
      <c r="A262" s="3">
        <v>215</v>
      </c>
      <c r="B262" s="3"/>
      <c r="C262" s="10"/>
      <c r="D262" s="3"/>
      <c r="E262" s="3"/>
      <c r="F262" s="3"/>
      <c r="G262" s="3"/>
    </row>
    <row r="263" spans="1:7" ht="18" customHeight="1" x14ac:dyDescent="0.25">
      <c r="A263" s="3">
        <v>216</v>
      </c>
      <c r="B263" s="3"/>
      <c r="C263" s="10"/>
      <c r="D263" s="3"/>
      <c r="E263" s="3"/>
      <c r="F263" s="3"/>
      <c r="G263" s="3"/>
    </row>
    <row r="264" spans="1:7" ht="18" customHeight="1" x14ac:dyDescent="0.25">
      <c r="A264" s="3">
        <v>217</v>
      </c>
      <c r="B264" s="3"/>
      <c r="C264" s="10"/>
      <c r="D264" s="3"/>
      <c r="E264" s="3"/>
      <c r="F264" s="3"/>
      <c r="G264" s="3"/>
    </row>
    <row r="265" spans="1:7" ht="18" customHeight="1" x14ac:dyDescent="0.25">
      <c r="A265" s="3">
        <v>218</v>
      </c>
      <c r="B265" s="3"/>
      <c r="C265" s="10"/>
      <c r="D265" s="3"/>
      <c r="E265" s="3"/>
      <c r="F265" s="3"/>
      <c r="G265" s="3"/>
    </row>
    <row r="266" spans="1:7" ht="18" customHeight="1" x14ac:dyDescent="0.25">
      <c r="A266" s="3">
        <v>219</v>
      </c>
      <c r="B266" s="3"/>
      <c r="C266" s="10"/>
      <c r="D266" s="3"/>
      <c r="E266" s="3"/>
      <c r="F266" s="3"/>
      <c r="G266" s="3"/>
    </row>
    <row r="267" spans="1:7" ht="18" customHeight="1" x14ac:dyDescent="0.25">
      <c r="A267" s="3">
        <v>220</v>
      </c>
      <c r="B267" s="3"/>
      <c r="C267" s="10"/>
      <c r="D267" s="3"/>
      <c r="E267" s="3"/>
      <c r="F267" s="3"/>
      <c r="G267" s="3"/>
    </row>
    <row r="268" spans="1:7" ht="18" customHeight="1" x14ac:dyDescent="0.25">
      <c r="A268" s="3">
        <v>221</v>
      </c>
      <c r="B268" s="3"/>
      <c r="C268" s="10"/>
      <c r="D268" s="3"/>
      <c r="E268" s="3"/>
      <c r="F268" s="3"/>
      <c r="G268" s="3"/>
    </row>
    <row r="269" spans="1:7" ht="18" customHeight="1" x14ac:dyDescent="0.25">
      <c r="A269" s="3">
        <v>222</v>
      </c>
      <c r="B269" s="3"/>
      <c r="C269" s="10"/>
      <c r="D269" s="3"/>
      <c r="E269" s="3"/>
      <c r="F269" s="3"/>
      <c r="G269" s="3"/>
    </row>
    <row r="270" spans="1:7" ht="18" customHeight="1" x14ac:dyDescent="0.25">
      <c r="A270" s="3">
        <v>223</v>
      </c>
      <c r="B270" s="3"/>
      <c r="C270" s="10"/>
      <c r="D270" s="3"/>
      <c r="E270" s="3"/>
      <c r="F270" s="3"/>
      <c r="G270" s="3"/>
    </row>
    <row r="271" spans="1:7" ht="18" customHeight="1" x14ac:dyDescent="0.25">
      <c r="A271" s="3">
        <v>224</v>
      </c>
      <c r="B271" s="3"/>
      <c r="C271" s="10"/>
      <c r="D271" s="3"/>
      <c r="E271" s="3"/>
      <c r="F271" s="3"/>
      <c r="G271" s="3"/>
    </row>
    <row r="272" spans="1:7" ht="18" customHeight="1" x14ac:dyDescent="0.25">
      <c r="A272" s="3">
        <v>225</v>
      </c>
      <c r="B272" s="3"/>
      <c r="C272" s="10"/>
      <c r="D272" s="3"/>
      <c r="E272" s="3"/>
      <c r="F272" s="3"/>
      <c r="G272" s="3"/>
    </row>
    <row r="273" spans="1:7" ht="18" customHeight="1" x14ac:dyDescent="0.25">
      <c r="A273" s="3">
        <v>226</v>
      </c>
      <c r="B273" s="3"/>
      <c r="C273" s="10"/>
      <c r="D273" s="3"/>
      <c r="E273" s="3"/>
      <c r="F273" s="3"/>
      <c r="G273" s="3"/>
    </row>
    <row r="274" spans="1:7" ht="18" customHeight="1" x14ac:dyDescent="0.25">
      <c r="A274" s="3">
        <v>227</v>
      </c>
      <c r="B274" s="3"/>
      <c r="C274" s="10"/>
      <c r="D274" s="3"/>
      <c r="E274" s="3"/>
      <c r="F274" s="3"/>
      <c r="G274" s="3"/>
    </row>
    <row r="275" spans="1:7" ht="18" customHeight="1" x14ac:dyDescent="0.25">
      <c r="A275" s="3">
        <v>228</v>
      </c>
      <c r="B275" s="3"/>
      <c r="C275" s="10"/>
      <c r="D275" s="3"/>
      <c r="E275" s="3"/>
      <c r="F275" s="3"/>
      <c r="G275" s="3"/>
    </row>
    <row r="276" spans="1:7" ht="18" customHeight="1" x14ac:dyDescent="0.25">
      <c r="A276" s="3">
        <v>229</v>
      </c>
      <c r="B276" s="3"/>
      <c r="C276" s="10"/>
      <c r="D276" s="3"/>
      <c r="E276" s="3"/>
      <c r="F276" s="3"/>
      <c r="G276" s="3"/>
    </row>
    <row r="277" spans="1:7" ht="18" customHeight="1" x14ac:dyDescent="0.25">
      <c r="A277" s="3">
        <v>230</v>
      </c>
      <c r="B277" s="3"/>
      <c r="C277" s="10"/>
      <c r="D277" s="3"/>
      <c r="E277" s="3"/>
      <c r="F277" s="3"/>
      <c r="G277" s="3"/>
    </row>
    <row r="278" spans="1:7" ht="18" customHeight="1" x14ac:dyDescent="0.25">
      <c r="A278" s="3">
        <v>231</v>
      </c>
      <c r="B278" s="3"/>
      <c r="C278" s="10"/>
      <c r="D278" s="3"/>
      <c r="E278" s="3"/>
      <c r="F278" s="3"/>
      <c r="G278" s="3"/>
    </row>
    <row r="279" spans="1:7" ht="18" customHeight="1" x14ac:dyDescent="0.25">
      <c r="A279" s="3">
        <v>232</v>
      </c>
      <c r="B279" s="3"/>
      <c r="C279" s="10"/>
      <c r="D279" s="3"/>
      <c r="E279" s="3"/>
      <c r="F279" s="3"/>
      <c r="G279" s="3"/>
    </row>
    <row r="280" spans="1:7" ht="18" customHeight="1" x14ac:dyDescent="0.25">
      <c r="A280" s="3">
        <v>233</v>
      </c>
      <c r="B280" s="3"/>
      <c r="C280" s="10"/>
      <c r="D280" s="3"/>
      <c r="E280" s="3"/>
      <c r="F280" s="3"/>
      <c r="G280" s="3"/>
    </row>
    <row r="281" spans="1:7" ht="18" customHeight="1" x14ac:dyDescent="0.25">
      <c r="A281" s="3">
        <v>234</v>
      </c>
      <c r="B281" s="3"/>
      <c r="C281" s="10"/>
      <c r="D281" s="3"/>
      <c r="E281" s="3"/>
      <c r="F281" s="3"/>
      <c r="G281" s="3"/>
    </row>
    <row r="282" spans="1:7" ht="18" customHeight="1" x14ac:dyDescent="0.25">
      <c r="A282" s="3">
        <v>235</v>
      </c>
      <c r="B282" s="3"/>
      <c r="C282" s="10"/>
      <c r="D282" s="3"/>
      <c r="E282" s="3"/>
      <c r="F282" s="3"/>
      <c r="G282" s="3"/>
    </row>
    <row r="283" spans="1:7" ht="18" customHeight="1" x14ac:dyDescent="0.25">
      <c r="A283" s="3">
        <v>236</v>
      </c>
      <c r="B283" s="3"/>
      <c r="C283" s="10"/>
      <c r="D283" s="3"/>
      <c r="E283" s="3"/>
      <c r="F283" s="3"/>
      <c r="G283" s="3"/>
    </row>
    <row r="284" spans="1:7" ht="18" customHeight="1" x14ac:dyDescent="0.25">
      <c r="A284" s="3">
        <v>237</v>
      </c>
      <c r="B284" s="3"/>
      <c r="C284" s="10"/>
      <c r="D284" s="3"/>
      <c r="E284" s="3"/>
      <c r="F284" s="3"/>
      <c r="G284" s="3"/>
    </row>
    <row r="285" spans="1:7" ht="18" customHeight="1" x14ac:dyDescent="0.25">
      <c r="A285" s="3">
        <v>238</v>
      </c>
      <c r="B285" s="3"/>
      <c r="C285" s="10"/>
      <c r="D285" s="3"/>
      <c r="E285" s="3"/>
      <c r="F285" s="3"/>
      <c r="G285" s="3"/>
    </row>
    <row r="286" spans="1:7" ht="18" customHeight="1" x14ac:dyDescent="0.25">
      <c r="A286" s="3">
        <v>239</v>
      </c>
      <c r="B286" s="3"/>
      <c r="C286" s="10"/>
      <c r="D286" s="3"/>
      <c r="E286" s="3"/>
      <c r="F286" s="3"/>
      <c r="G286" s="3"/>
    </row>
    <row r="287" spans="1:7" ht="18" customHeight="1" x14ac:dyDescent="0.25">
      <c r="A287" s="3">
        <v>240</v>
      </c>
      <c r="B287" s="3"/>
      <c r="C287" s="10"/>
      <c r="D287" s="3"/>
      <c r="E287" s="3"/>
      <c r="F287" s="3"/>
      <c r="G287" s="3"/>
    </row>
    <row r="288" spans="1:7" ht="33" customHeight="1" x14ac:dyDescent="0.25">
      <c r="A288" s="31" t="str">
        <f>"اجمالى عدد "&amp;COUNTIF(C248:C287,"*")&amp;" شيك بمبلغ"</f>
        <v>اجمالى عدد 0 شيك بمبلغ</v>
      </c>
      <c r="B288" s="32"/>
      <c r="C288" s="32"/>
      <c r="D288" s="33"/>
      <c r="E288" s="13">
        <f>SUM(E247:E287)</f>
        <v>0</v>
      </c>
      <c r="F288" s="29" t="str">
        <f>NoToTxt(E288,"جنيه","قرش")&amp;" لاغير  "</f>
        <v xml:space="preserve">صفر لاغير  </v>
      </c>
      <c r="G288" s="30"/>
    </row>
    <row r="289" spans="1:7" ht="18" customHeight="1" x14ac:dyDescent="0.25">
      <c r="A289" s="23" t="s">
        <v>10013</v>
      </c>
      <c r="B289" s="23"/>
      <c r="C289" s="23"/>
      <c r="D289" s="23"/>
      <c r="E289" s="23"/>
      <c r="F289" s="23"/>
      <c r="G289" s="23"/>
    </row>
    <row r="290" spans="1:7" ht="32.25" customHeight="1" x14ac:dyDescent="0.25">
      <c r="A290" s="24" t="s">
        <v>10014</v>
      </c>
      <c r="B290" s="25"/>
      <c r="C290" s="25"/>
      <c r="D290" s="25"/>
      <c r="E290" s="25"/>
      <c r="F290" s="25"/>
      <c r="G290" s="25"/>
    </row>
    <row r="291" spans="1:7" ht="18" customHeight="1" x14ac:dyDescent="0.25">
      <c r="A291" s="25"/>
      <c r="B291" s="25"/>
      <c r="C291" s="25"/>
      <c r="D291" s="25"/>
      <c r="E291" s="25"/>
      <c r="F291" s="25"/>
      <c r="G291" s="25"/>
    </row>
    <row r="292" spans="1:7" ht="33.75" customHeight="1" x14ac:dyDescent="0.25">
      <c r="A292" s="21" t="str">
        <f>A244</f>
        <v xml:space="preserve"> تابع حافظة شيكات للعملاء ملغاة  بلجنة البت في القروض المنعقدة في تاريخ</v>
      </c>
      <c r="B292" s="21"/>
      <c r="C292" s="21"/>
      <c r="D292" s="21"/>
      <c r="E292" s="21"/>
      <c r="F292" s="21"/>
      <c r="G292" s="21"/>
    </row>
    <row r="293" spans="1:7" ht="19.5" customHeight="1" x14ac:dyDescent="0.25">
      <c r="A293" s="22" t="str">
        <f>A245</f>
        <v>علي الحساب الجاري رقم /  405033714006   ببنك الأسكندرية فرع اسيوط</v>
      </c>
      <c r="B293" s="22"/>
      <c r="C293" s="22"/>
      <c r="D293" s="22"/>
      <c r="E293" s="22"/>
      <c r="F293" s="22"/>
      <c r="G293" s="22"/>
    </row>
    <row r="294" spans="1:7" ht="30" customHeight="1" x14ac:dyDescent="0.25">
      <c r="A294" s="6" t="s">
        <v>10005</v>
      </c>
      <c r="B294" s="6" t="s">
        <v>10006</v>
      </c>
      <c r="C294" s="9" t="s">
        <v>10007</v>
      </c>
      <c r="D294" s="6" t="s">
        <v>10008</v>
      </c>
      <c r="E294" s="6" t="s">
        <v>10009</v>
      </c>
      <c r="F294" s="6" t="s">
        <v>10010</v>
      </c>
      <c r="G294" s="6" t="s">
        <v>10011</v>
      </c>
    </row>
    <row r="295" spans="1:7" ht="30" customHeight="1" x14ac:dyDescent="0.25">
      <c r="A295" s="31" t="s">
        <v>10597</v>
      </c>
      <c r="B295" s="32"/>
      <c r="C295" s="32"/>
      <c r="D295" s="33"/>
      <c r="E295" s="14">
        <f>E288</f>
        <v>0</v>
      </c>
      <c r="F295" s="29" t="str">
        <f>NoToTxt(E295,"جنيه","قرش")&amp;" لاغير  "</f>
        <v xml:space="preserve">صفر لاغير  </v>
      </c>
      <c r="G295" s="30"/>
    </row>
    <row r="296" spans="1:7" ht="18" customHeight="1" x14ac:dyDescent="0.25">
      <c r="A296" s="3">
        <v>241</v>
      </c>
      <c r="B296" s="3"/>
      <c r="C296" s="10"/>
      <c r="D296" s="3"/>
      <c r="E296" s="3"/>
      <c r="F296" s="3"/>
      <c r="G296" s="3"/>
    </row>
    <row r="297" spans="1:7" ht="18" customHeight="1" x14ac:dyDescent="0.25">
      <c r="A297" s="3">
        <v>242</v>
      </c>
      <c r="B297" s="3"/>
      <c r="C297" s="10"/>
      <c r="D297" s="3"/>
      <c r="E297" s="3"/>
      <c r="F297" s="3"/>
      <c r="G297" s="3"/>
    </row>
    <row r="298" spans="1:7" ht="18" customHeight="1" x14ac:dyDescent="0.25">
      <c r="A298" s="3">
        <v>243</v>
      </c>
      <c r="B298" s="3"/>
      <c r="C298" s="10"/>
      <c r="D298" s="3"/>
      <c r="E298" s="3"/>
      <c r="F298" s="3"/>
      <c r="G298" s="3"/>
    </row>
    <row r="299" spans="1:7" ht="18" customHeight="1" x14ac:dyDescent="0.25">
      <c r="A299" s="3">
        <v>244</v>
      </c>
      <c r="B299" s="3"/>
      <c r="C299" s="10"/>
      <c r="D299" s="3"/>
      <c r="E299" s="3"/>
      <c r="F299" s="3"/>
      <c r="G299" s="3"/>
    </row>
    <row r="300" spans="1:7" ht="18" customHeight="1" x14ac:dyDescent="0.25">
      <c r="A300" s="3">
        <v>245</v>
      </c>
      <c r="B300" s="3"/>
      <c r="C300" s="10"/>
      <c r="D300" s="3"/>
      <c r="E300" s="3"/>
      <c r="F300" s="3"/>
      <c r="G300" s="3"/>
    </row>
    <row r="301" spans="1:7" ht="18" customHeight="1" x14ac:dyDescent="0.25">
      <c r="A301" s="3">
        <v>246</v>
      </c>
      <c r="B301" s="3"/>
      <c r="C301" s="10"/>
      <c r="D301" s="3"/>
      <c r="E301" s="3"/>
      <c r="F301" s="3"/>
      <c r="G301" s="3"/>
    </row>
    <row r="302" spans="1:7" ht="18" customHeight="1" x14ac:dyDescent="0.25">
      <c r="A302" s="3">
        <v>247</v>
      </c>
      <c r="B302" s="3"/>
      <c r="C302" s="10"/>
      <c r="D302" s="3"/>
      <c r="E302" s="3"/>
      <c r="F302" s="3"/>
      <c r="G302" s="3"/>
    </row>
    <row r="303" spans="1:7" ht="18" customHeight="1" x14ac:dyDescent="0.25">
      <c r="A303" s="3">
        <v>248</v>
      </c>
      <c r="B303" s="3"/>
      <c r="C303" s="10"/>
      <c r="D303" s="3"/>
      <c r="E303" s="3"/>
      <c r="F303" s="3"/>
      <c r="G303" s="3"/>
    </row>
    <row r="304" spans="1:7" ht="18" customHeight="1" x14ac:dyDescent="0.25">
      <c r="A304" s="3">
        <v>249</v>
      </c>
      <c r="B304" s="3"/>
      <c r="C304" s="10"/>
      <c r="D304" s="3"/>
      <c r="E304" s="3"/>
      <c r="F304" s="3"/>
      <c r="G304" s="3"/>
    </row>
    <row r="305" spans="1:7" ht="18" customHeight="1" x14ac:dyDescent="0.25">
      <c r="A305" s="3">
        <v>250</v>
      </c>
      <c r="B305" s="3"/>
      <c r="C305" s="10"/>
      <c r="D305" s="3"/>
      <c r="E305" s="3"/>
      <c r="F305" s="3"/>
      <c r="G305" s="3"/>
    </row>
    <row r="306" spans="1:7" ht="18" customHeight="1" x14ac:dyDescent="0.25">
      <c r="A306" s="3">
        <v>251</v>
      </c>
      <c r="B306" s="3"/>
      <c r="C306" s="10"/>
      <c r="D306" s="3"/>
      <c r="E306" s="3"/>
      <c r="F306" s="3"/>
      <c r="G306" s="3"/>
    </row>
    <row r="307" spans="1:7" ht="18" customHeight="1" x14ac:dyDescent="0.25">
      <c r="A307" s="3">
        <v>252</v>
      </c>
      <c r="B307" s="3"/>
      <c r="C307" s="10"/>
      <c r="D307" s="3"/>
      <c r="E307" s="3"/>
      <c r="F307" s="3"/>
      <c r="G307" s="3"/>
    </row>
    <row r="308" spans="1:7" ht="18" customHeight="1" x14ac:dyDescent="0.25">
      <c r="A308" s="3">
        <v>253</v>
      </c>
      <c r="B308" s="3"/>
      <c r="C308" s="10"/>
      <c r="D308" s="3"/>
      <c r="E308" s="3"/>
      <c r="F308" s="3"/>
      <c r="G308" s="3"/>
    </row>
    <row r="309" spans="1:7" ht="18" customHeight="1" x14ac:dyDescent="0.25">
      <c r="A309" s="3">
        <v>254</v>
      </c>
      <c r="B309" s="3"/>
      <c r="C309" s="10"/>
      <c r="D309" s="3"/>
      <c r="E309" s="3"/>
      <c r="F309" s="3"/>
      <c r="G309" s="3"/>
    </row>
    <row r="310" spans="1:7" ht="18" customHeight="1" x14ac:dyDescent="0.25">
      <c r="A310" s="3">
        <v>255</v>
      </c>
      <c r="B310" s="3"/>
      <c r="C310" s="10"/>
      <c r="D310" s="3"/>
      <c r="E310" s="3"/>
      <c r="F310" s="3"/>
      <c r="G310" s="3"/>
    </row>
    <row r="311" spans="1:7" ht="18" customHeight="1" x14ac:dyDescent="0.25">
      <c r="A311" s="3">
        <v>256</v>
      </c>
      <c r="B311" s="3"/>
      <c r="C311" s="10"/>
      <c r="D311" s="3"/>
      <c r="E311" s="3"/>
      <c r="F311" s="3"/>
      <c r="G311" s="3"/>
    </row>
    <row r="312" spans="1:7" ht="18" customHeight="1" x14ac:dyDescent="0.25">
      <c r="A312" s="3">
        <v>257</v>
      </c>
      <c r="B312" s="3"/>
      <c r="C312" s="10"/>
      <c r="D312" s="3"/>
      <c r="E312" s="3"/>
      <c r="F312" s="3"/>
      <c r="G312" s="3"/>
    </row>
    <row r="313" spans="1:7" ht="18" customHeight="1" x14ac:dyDescent="0.25">
      <c r="A313" s="3">
        <v>258</v>
      </c>
      <c r="B313" s="3"/>
      <c r="C313" s="10"/>
      <c r="D313" s="3"/>
      <c r="E313" s="3"/>
      <c r="F313" s="3"/>
      <c r="G313" s="3"/>
    </row>
    <row r="314" spans="1:7" ht="18" customHeight="1" x14ac:dyDescent="0.25">
      <c r="A314" s="3">
        <v>259</v>
      </c>
      <c r="B314" s="3"/>
      <c r="C314" s="10"/>
      <c r="D314" s="3"/>
      <c r="E314" s="3"/>
      <c r="F314" s="3"/>
      <c r="G314" s="3"/>
    </row>
    <row r="315" spans="1:7" ht="18" customHeight="1" x14ac:dyDescent="0.25">
      <c r="A315" s="3">
        <v>260</v>
      </c>
      <c r="B315" s="3"/>
      <c r="C315" s="10"/>
      <c r="D315" s="3"/>
      <c r="E315" s="3"/>
      <c r="F315" s="3"/>
      <c r="G315" s="3"/>
    </row>
    <row r="316" spans="1:7" ht="18" customHeight="1" x14ac:dyDescent="0.25">
      <c r="A316" s="3">
        <v>261</v>
      </c>
      <c r="B316" s="3"/>
      <c r="C316" s="10"/>
      <c r="D316" s="3"/>
      <c r="E316" s="3"/>
      <c r="F316" s="3"/>
      <c r="G316" s="3"/>
    </row>
    <row r="317" spans="1:7" ht="18" customHeight="1" x14ac:dyDescent="0.25">
      <c r="A317" s="3">
        <v>262</v>
      </c>
      <c r="B317" s="3"/>
      <c r="C317" s="10"/>
      <c r="D317" s="3"/>
      <c r="E317" s="3"/>
      <c r="F317" s="3"/>
      <c r="G317" s="3"/>
    </row>
    <row r="318" spans="1:7" ht="18" customHeight="1" x14ac:dyDescent="0.25">
      <c r="A318" s="3">
        <v>263</v>
      </c>
      <c r="B318" s="3"/>
      <c r="C318" s="10"/>
      <c r="D318" s="3"/>
      <c r="E318" s="3"/>
      <c r="F318" s="3"/>
      <c r="G318" s="3"/>
    </row>
    <row r="319" spans="1:7" ht="18" customHeight="1" x14ac:dyDescent="0.25">
      <c r="A319" s="3">
        <v>264</v>
      </c>
      <c r="B319" s="3"/>
      <c r="C319" s="10"/>
      <c r="D319" s="3"/>
      <c r="E319" s="3"/>
      <c r="F319" s="3"/>
      <c r="G319" s="3"/>
    </row>
    <row r="320" spans="1:7" ht="18" customHeight="1" x14ac:dyDescent="0.25">
      <c r="A320" s="3">
        <v>265</v>
      </c>
      <c r="B320" s="3"/>
      <c r="C320" s="10"/>
      <c r="D320" s="3"/>
      <c r="E320" s="3"/>
      <c r="F320" s="3"/>
      <c r="G320" s="3"/>
    </row>
    <row r="321" spans="1:7" ht="18" customHeight="1" x14ac:dyDescent="0.25">
      <c r="A321" s="3">
        <v>266</v>
      </c>
      <c r="B321" s="3"/>
      <c r="C321" s="10"/>
      <c r="D321" s="3"/>
      <c r="E321" s="3"/>
      <c r="F321" s="3"/>
      <c r="G321" s="3"/>
    </row>
    <row r="322" spans="1:7" ht="18" customHeight="1" x14ac:dyDescent="0.25">
      <c r="A322" s="3">
        <v>267</v>
      </c>
      <c r="B322" s="3"/>
      <c r="C322" s="10"/>
      <c r="D322" s="3"/>
      <c r="E322" s="3"/>
      <c r="F322" s="3"/>
      <c r="G322" s="3"/>
    </row>
    <row r="323" spans="1:7" ht="18" customHeight="1" x14ac:dyDescent="0.25">
      <c r="A323" s="3">
        <v>268</v>
      </c>
      <c r="B323" s="3"/>
      <c r="C323" s="10"/>
      <c r="D323" s="3"/>
      <c r="E323" s="3"/>
      <c r="F323" s="3"/>
      <c r="G323" s="3"/>
    </row>
    <row r="324" spans="1:7" ht="18" customHeight="1" x14ac:dyDescent="0.25">
      <c r="A324" s="3">
        <v>269</v>
      </c>
      <c r="B324" s="3"/>
      <c r="C324" s="10"/>
      <c r="D324" s="3"/>
      <c r="E324" s="3"/>
      <c r="F324" s="3"/>
      <c r="G324" s="3"/>
    </row>
    <row r="325" spans="1:7" ht="18" customHeight="1" x14ac:dyDescent="0.25">
      <c r="A325" s="3">
        <v>270</v>
      </c>
      <c r="B325" s="3"/>
      <c r="C325" s="10"/>
      <c r="D325" s="3"/>
      <c r="E325" s="3"/>
      <c r="F325" s="3"/>
      <c r="G325" s="3"/>
    </row>
    <row r="326" spans="1:7" ht="18" customHeight="1" x14ac:dyDescent="0.25">
      <c r="A326" s="3">
        <v>271</v>
      </c>
      <c r="B326" s="3"/>
      <c r="C326" s="10"/>
      <c r="D326" s="3"/>
      <c r="E326" s="3"/>
      <c r="F326" s="3"/>
      <c r="G326" s="3"/>
    </row>
    <row r="327" spans="1:7" ht="18" customHeight="1" x14ac:dyDescent="0.25">
      <c r="A327" s="3">
        <v>272</v>
      </c>
      <c r="B327" s="3"/>
      <c r="C327" s="10"/>
      <c r="D327" s="3"/>
      <c r="E327" s="3"/>
      <c r="F327" s="3"/>
      <c r="G327" s="3"/>
    </row>
    <row r="328" spans="1:7" ht="18" customHeight="1" x14ac:dyDescent="0.25">
      <c r="A328" s="3">
        <v>273</v>
      </c>
      <c r="B328" s="3"/>
      <c r="C328" s="10"/>
      <c r="D328" s="3"/>
      <c r="E328" s="3"/>
      <c r="F328" s="3"/>
      <c r="G328" s="3"/>
    </row>
    <row r="329" spans="1:7" ht="18" customHeight="1" x14ac:dyDescent="0.25">
      <c r="A329" s="3">
        <v>274</v>
      </c>
      <c r="B329" s="3"/>
      <c r="C329" s="10"/>
      <c r="D329" s="3"/>
      <c r="E329" s="3"/>
      <c r="F329" s="3"/>
      <c r="G329" s="3"/>
    </row>
    <row r="330" spans="1:7" ht="18" customHeight="1" x14ac:dyDescent="0.25">
      <c r="A330" s="3">
        <v>275</v>
      </c>
      <c r="B330" s="3"/>
      <c r="C330" s="10"/>
      <c r="D330" s="3"/>
      <c r="E330" s="3"/>
      <c r="F330" s="3"/>
      <c r="G330" s="3"/>
    </row>
    <row r="331" spans="1:7" ht="18" customHeight="1" x14ac:dyDescent="0.25">
      <c r="A331" s="3">
        <v>276</v>
      </c>
      <c r="B331" s="3"/>
      <c r="C331" s="10"/>
      <c r="D331" s="3"/>
      <c r="E331" s="3"/>
      <c r="F331" s="3"/>
      <c r="G331" s="3"/>
    </row>
    <row r="332" spans="1:7" ht="18" customHeight="1" x14ac:dyDescent="0.25">
      <c r="A332" s="3">
        <v>277</v>
      </c>
      <c r="B332" s="3"/>
      <c r="C332" s="10"/>
      <c r="D332" s="3"/>
      <c r="E332" s="3"/>
      <c r="F332" s="3"/>
      <c r="G332" s="3"/>
    </row>
    <row r="333" spans="1:7" ht="18" customHeight="1" x14ac:dyDescent="0.25">
      <c r="A333" s="3">
        <v>278</v>
      </c>
      <c r="B333" s="3"/>
      <c r="C333" s="10"/>
      <c r="D333" s="3"/>
      <c r="E333" s="3"/>
      <c r="F333" s="3"/>
      <c r="G333" s="3"/>
    </row>
    <row r="334" spans="1:7" ht="18" customHeight="1" x14ac:dyDescent="0.25">
      <c r="A334" s="3">
        <v>279</v>
      </c>
      <c r="B334" s="3"/>
      <c r="C334" s="10"/>
      <c r="D334" s="3"/>
      <c r="E334" s="3"/>
      <c r="F334" s="3"/>
      <c r="G334" s="3"/>
    </row>
    <row r="335" spans="1:7" ht="18" customHeight="1" x14ac:dyDescent="0.25">
      <c r="A335" s="3">
        <v>280</v>
      </c>
      <c r="B335" s="3"/>
      <c r="C335" s="10"/>
      <c r="D335" s="3"/>
      <c r="E335" s="3"/>
      <c r="F335" s="3"/>
      <c r="G335" s="3"/>
    </row>
    <row r="336" spans="1:7" ht="33" customHeight="1" x14ac:dyDescent="0.25">
      <c r="A336" s="31" t="str">
        <f>"اجمالى عدد "&amp;COUNTIF(C296:C335,"*")&amp;" شيك بمبلغ"</f>
        <v>اجمالى عدد 0 شيك بمبلغ</v>
      </c>
      <c r="B336" s="32"/>
      <c r="C336" s="32"/>
      <c r="D336" s="33"/>
      <c r="E336" s="13">
        <f>SUM(E295:E335)</f>
        <v>0</v>
      </c>
      <c r="F336" s="29" t="str">
        <f>NoToTxt(E336,"جنيه","قرش")&amp;" لاغير  "</f>
        <v xml:space="preserve">صفر لاغير  </v>
      </c>
      <c r="G336" s="30"/>
    </row>
    <row r="337" spans="1:7" ht="18" customHeight="1" x14ac:dyDescent="0.25">
      <c r="A337" s="23" t="s">
        <v>10013</v>
      </c>
      <c r="B337" s="23"/>
      <c r="C337" s="23"/>
      <c r="D337" s="23"/>
      <c r="E337" s="23"/>
      <c r="F337" s="23"/>
      <c r="G337" s="23"/>
    </row>
    <row r="338" spans="1:7" ht="32.25" customHeight="1" x14ac:dyDescent="0.25">
      <c r="A338" s="24" t="s">
        <v>10014</v>
      </c>
      <c r="B338" s="25"/>
      <c r="C338" s="25"/>
      <c r="D338" s="25"/>
      <c r="E338" s="25"/>
      <c r="F338" s="25"/>
      <c r="G338" s="25"/>
    </row>
    <row r="339" spans="1:7" ht="18" customHeight="1" x14ac:dyDescent="0.25">
      <c r="A339" s="25"/>
      <c r="B339" s="25"/>
      <c r="C339" s="25"/>
      <c r="D339" s="25"/>
      <c r="E339" s="25"/>
      <c r="F339" s="25"/>
      <c r="G339" s="25"/>
    </row>
    <row r="340" spans="1:7" ht="33.75" customHeight="1" x14ac:dyDescent="0.25">
      <c r="A340" s="21" t="str">
        <f>A292</f>
        <v xml:space="preserve"> تابع حافظة شيكات للعملاء ملغاة  بلجنة البت في القروض المنعقدة في تاريخ</v>
      </c>
      <c r="B340" s="21"/>
      <c r="C340" s="21"/>
      <c r="D340" s="21"/>
      <c r="E340" s="21"/>
      <c r="F340" s="21"/>
      <c r="G340" s="21"/>
    </row>
    <row r="341" spans="1:7" ht="19.5" customHeight="1" x14ac:dyDescent="0.25">
      <c r="A341" s="22" t="str">
        <f>A293</f>
        <v>علي الحساب الجاري رقم /  405033714006   ببنك الأسكندرية فرع اسيوط</v>
      </c>
      <c r="B341" s="22"/>
      <c r="C341" s="22"/>
      <c r="D341" s="22"/>
      <c r="E341" s="22"/>
      <c r="F341" s="22"/>
      <c r="G341" s="22"/>
    </row>
    <row r="342" spans="1:7" ht="30" customHeight="1" x14ac:dyDescent="0.25">
      <c r="A342" s="6" t="s">
        <v>10005</v>
      </c>
      <c r="B342" s="6" t="s">
        <v>10006</v>
      </c>
      <c r="C342" s="9" t="s">
        <v>10007</v>
      </c>
      <c r="D342" s="6" t="s">
        <v>10008</v>
      </c>
      <c r="E342" s="6" t="s">
        <v>10009</v>
      </c>
      <c r="F342" s="6" t="s">
        <v>10010</v>
      </c>
      <c r="G342" s="6" t="s">
        <v>10011</v>
      </c>
    </row>
    <row r="343" spans="1:7" ht="30" customHeight="1" x14ac:dyDescent="0.25">
      <c r="A343" s="31" t="s">
        <v>10598</v>
      </c>
      <c r="B343" s="32"/>
      <c r="C343" s="32"/>
      <c r="D343" s="33"/>
      <c r="E343" s="14">
        <f>E336</f>
        <v>0</v>
      </c>
      <c r="F343" s="29" t="str">
        <f>NoToTxt(E343,"جنيه","قرش")&amp;" لاغير  "</f>
        <v xml:space="preserve">صفر لاغير  </v>
      </c>
      <c r="G343" s="30"/>
    </row>
    <row r="344" spans="1:7" ht="18" customHeight="1" x14ac:dyDescent="0.25">
      <c r="A344" s="3">
        <v>281</v>
      </c>
      <c r="B344" s="3"/>
      <c r="C344" s="10"/>
      <c r="D344" s="3"/>
      <c r="E344" s="3"/>
      <c r="F344" s="3"/>
      <c r="G344" s="3"/>
    </row>
    <row r="345" spans="1:7" ht="18" customHeight="1" x14ac:dyDescent="0.25">
      <c r="A345" s="3">
        <v>282</v>
      </c>
      <c r="B345" s="3"/>
      <c r="C345" s="10"/>
      <c r="D345" s="3"/>
      <c r="E345" s="3"/>
      <c r="F345" s="3"/>
      <c r="G345" s="3"/>
    </row>
    <row r="346" spans="1:7" ht="18" customHeight="1" x14ac:dyDescent="0.25">
      <c r="A346" s="3">
        <v>283</v>
      </c>
      <c r="B346" s="3"/>
      <c r="C346" s="10"/>
      <c r="D346" s="3"/>
      <c r="E346" s="3"/>
      <c r="F346" s="3"/>
      <c r="G346" s="3"/>
    </row>
    <row r="347" spans="1:7" ht="18" customHeight="1" x14ac:dyDescent="0.25">
      <c r="A347" s="3">
        <v>284</v>
      </c>
      <c r="B347" s="3"/>
      <c r="C347" s="10"/>
      <c r="D347" s="3"/>
      <c r="E347" s="3"/>
      <c r="F347" s="3"/>
      <c r="G347" s="3"/>
    </row>
    <row r="348" spans="1:7" ht="18" customHeight="1" x14ac:dyDescent="0.25">
      <c r="A348" s="3">
        <v>285</v>
      </c>
      <c r="B348" s="3"/>
      <c r="C348" s="10"/>
      <c r="D348" s="3"/>
      <c r="E348" s="3"/>
      <c r="F348" s="3"/>
      <c r="G348" s="3"/>
    </row>
    <row r="349" spans="1:7" ht="18" customHeight="1" x14ac:dyDescent="0.25">
      <c r="A349" s="3">
        <v>286</v>
      </c>
      <c r="B349" s="3"/>
      <c r="C349" s="10"/>
      <c r="D349" s="3"/>
      <c r="E349" s="3"/>
      <c r="F349" s="3"/>
      <c r="G349" s="3"/>
    </row>
    <row r="350" spans="1:7" ht="18" customHeight="1" x14ac:dyDescent="0.25">
      <c r="A350" s="3">
        <v>287</v>
      </c>
      <c r="B350" s="3"/>
      <c r="C350" s="10"/>
      <c r="D350" s="3"/>
      <c r="E350" s="3"/>
      <c r="F350" s="3"/>
      <c r="G350" s="3"/>
    </row>
    <row r="351" spans="1:7" ht="18" customHeight="1" x14ac:dyDescent="0.25">
      <c r="A351" s="3">
        <v>288</v>
      </c>
      <c r="B351" s="3"/>
      <c r="C351" s="10"/>
      <c r="D351" s="3"/>
      <c r="E351" s="3"/>
      <c r="F351" s="3"/>
      <c r="G351" s="3"/>
    </row>
    <row r="352" spans="1:7" ht="18" customHeight="1" x14ac:dyDescent="0.25">
      <c r="A352" s="3">
        <v>289</v>
      </c>
      <c r="B352" s="3"/>
      <c r="C352" s="10"/>
      <c r="D352" s="3"/>
      <c r="E352" s="3"/>
      <c r="F352" s="3"/>
      <c r="G352" s="3"/>
    </row>
    <row r="353" spans="1:7" ht="18" customHeight="1" x14ac:dyDescent="0.25">
      <c r="A353" s="3">
        <v>290</v>
      </c>
      <c r="B353" s="3"/>
      <c r="C353" s="10"/>
      <c r="D353" s="3"/>
      <c r="E353" s="3"/>
      <c r="F353" s="3"/>
      <c r="G353" s="3"/>
    </row>
    <row r="354" spans="1:7" ht="18" customHeight="1" x14ac:dyDescent="0.25">
      <c r="A354" s="3">
        <v>291</v>
      </c>
      <c r="B354" s="3"/>
      <c r="C354" s="10"/>
      <c r="D354" s="3"/>
      <c r="E354" s="3"/>
      <c r="F354" s="3"/>
      <c r="G354" s="3"/>
    </row>
    <row r="355" spans="1:7" ht="18" customHeight="1" x14ac:dyDescent="0.25">
      <c r="A355" s="3">
        <v>292</v>
      </c>
      <c r="B355" s="3"/>
      <c r="C355" s="10"/>
      <c r="D355" s="3"/>
      <c r="E355" s="3"/>
      <c r="F355" s="3"/>
      <c r="G355" s="3"/>
    </row>
    <row r="356" spans="1:7" ht="18" customHeight="1" x14ac:dyDescent="0.25">
      <c r="A356" s="3">
        <v>293</v>
      </c>
      <c r="B356" s="3"/>
      <c r="C356" s="10"/>
      <c r="D356" s="3"/>
      <c r="E356" s="3"/>
      <c r="F356" s="3"/>
      <c r="G356" s="3"/>
    </row>
    <row r="357" spans="1:7" ht="18" customHeight="1" x14ac:dyDescent="0.25">
      <c r="A357" s="3">
        <v>294</v>
      </c>
      <c r="B357" s="3"/>
      <c r="C357" s="10"/>
      <c r="D357" s="3"/>
      <c r="E357" s="3"/>
      <c r="F357" s="3"/>
      <c r="G357" s="3"/>
    </row>
    <row r="358" spans="1:7" ht="18" customHeight="1" x14ac:dyDescent="0.25">
      <c r="A358" s="3">
        <v>295</v>
      </c>
      <c r="B358" s="3"/>
      <c r="C358" s="10"/>
      <c r="D358" s="3"/>
      <c r="E358" s="3"/>
      <c r="F358" s="3"/>
      <c r="G358" s="3"/>
    </row>
    <row r="359" spans="1:7" ht="18" customHeight="1" x14ac:dyDescent="0.25">
      <c r="A359" s="3">
        <v>296</v>
      </c>
      <c r="B359" s="3"/>
      <c r="C359" s="10"/>
      <c r="D359" s="3"/>
      <c r="E359" s="3"/>
      <c r="F359" s="3"/>
      <c r="G359" s="3"/>
    </row>
    <row r="360" spans="1:7" ht="18" customHeight="1" x14ac:dyDescent="0.25">
      <c r="A360" s="3">
        <v>297</v>
      </c>
      <c r="B360" s="3"/>
      <c r="C360" s="10"/>
      <c r="D360" s="3"/>
      <c r="E360" s="3"/>
      <c r="F360" s="3"/>
      <c r="G360" s="3"/>
    </row>
    <row r="361" spans="1:7" ht="18" customHeight="1" x14ac:dyDescent="0.25">
      <c r="A361" s="3">
        <v>298</v>
      </c>
      <c r="B361" s="3"/>
      <c r="C361" s="10"/>
      <c r="D361" s="3"/>
      <c r="E361" s="3"/>
      <c r="F361" s="3"/>
      <c r="G361" s="3"/>
    </row>
    <row r="362" spans="1:7" ht="18" customHeight="1" x14ac:dyDescent="0.25">
      <c r="A362" s="3">
        <v>299</v>
      </c>
      <c r="B362" s="3"/>
      <c r="C362" s="10"/>
      <c r="D362" s="3"/>
      <c r="E362" s="3"/>
      <c r="F362" s="3"/>
      <c r="G362" s="3"/>
    </row>
    <row r="363" spans="1:7" ht="18" customHeight="1" x14ac:dyDescent="0.25">
      <c r="A363" s="3">
        <v>300</v>
      </c>
      <c r="B363" s="3"/>
      <c r="C363" s="10"/>
      <c r="D363" s="3"/>
      <c r="E363" s="3"/>
      <c r="F363" s="3"/>
      <c r="G363" s="3"/>
    </row>
    <row r="364" spans="1:7" ht="18" customHeight="1" x14ac:dyDescent="0.25">
      <c r="A364" s="3">
        <v>301</v>
      </c>
      <c r="B364" s="3"/>
      <c r="C364" s="10"/>
      <c r="D364" s="3"/>
      <c r="E364" s="3"/>
      <c r="F364" s="3"/>
      <c r="G364" s="3"/>
    </row>
    <row r="365" spans="1:7" ht="18" customHeight="1" x14ac:dyDescent="0.25">
      <c r="A365" s="3">
        <v>302</v>
      </c>
      <c r="B365" s="3"/>
      <c r="C365" s="10"/>
      <c r="D365" s="3"/>
      <c r="E365" s="3"/>
      <c r="F365" s="3"/>
      <c r="G365" s="3"/>
    </row>
    <row r="366" spans="1:7" ht="18" customHeight="1" x14ac:dyDescent="0.25">
      <c r="A366" s="3">
        <v>303</v>
      </c>
      <c r="B366" s="3"/>
      <c r="C366" s="10"/>
      <c r="D366" s="3"/>
      <c r="E366" s="3"/>
      <c r="F366" s="3"/>
      <c r="G366" s="3"/>
    </row>
    <row r="367" spans="1:7" ht="18" customHeight="1" x14ac:dyDescent="0.25">
      <c r="A367" s="3">
        <v>304</v>
      </c>
      <c r="B367" s="3"/>
      <c r="C367" s="10"/>
      <c r="D367" s="3"/>
      <c r="E367" s="3"/>
      <c r="F367" s="3"/>
      <c r="G367" s="3"/>
    </row>
    <row r="368" spans="1:7" ht="18" customHeight="1" x14ac:dyDescent="0.25">
      <c r="A368" s="3">
        <v>305</v>
      </c>
      <c r="B368" s="3"/>
      <c r="C368" s="10"/>
      <c r="D368" s="3"/>
      <c r="E368" s="3"/>
      <c r="F368" s="3"/>
      <c r="G368" s="3"/>
    </row>
    <row r="369" spans="1:7" ht="18" customHeight="1" x14ac:dyDescent="0.25">
      <c r="A369" s="3">
        <v>306</v>
      </c>
      <c r="B369" s="3"/>
      <c r="C369" s="10"/>
      <c r="D369" s="3"/>
      <c r="E369" s="3"/>
      <c r="F369" s="3"/>
      <c r="G369" s="3"/>
    </row>
    <row r="370" spans="1:7" ht="18" customHeight="1" x14ac:dyDescent="0.25">
      <c r="A370" s="3">
        <v>307</v>
      </c>
      <c r="B370" s="3"/>
      <c r="C370" s="10"/>
      <c r="D370" s="3"/>
      <c r="E370" s="3"/>
      <c r="F370" s="3"/>
      <c r="G370" s="3"/>
    </row>
    <row r="371" spans="1:7" ht="18" customHeight="1" x14ac:dyDescent="0.25">
      <c r="A371" s="3">
        <v>308</v>
      </c>
      <c r="B371" s="3"/>
      <c r="C371" s="10"/>
      <c r="D371" s="3"/>
      <c r="E371" s="3"/>
      <c r="F371" s="3"/>
      <c r="G371" s="3"/>
    </row>
    <row r="372" spans="1:7" ht="18" customHeight="1" x14ac:dyDescent="0.25">
      <c r="A372" s="3">
        <v>309</v>
      </c>
      <c r="B372" s="3"/>
      <c r="C372" s="10"/>
      <c r="D372" s="3"/>
      <c r="E372" s="3"/>
      <c r="F372" s="3"/>
      <c r="G372" s="3"/>
    </row>
    <row r="373" spans="1:7" ht="18" customHeight="1" x14ac:dyDescent="0.25">
      <c r="A373" s="3">
        <v>310</v>
      </c>
      <c r="B373" s="3"/>
      <c r="C373" s="10"/>
      <c r="D373" s="3"/>
      <c r="E373" s="3"/>
      <c r="F373" s="3"/>
      <c r="G373" s="3"/>
    </row>
    <row r="374" spans="1:7" ht="18" customHeight="1" x14ac:dyDescent="0.25">
      <c r="A374" s="3">
        <v>311</v>
      </c>
      <c r="B374" s="3"/>
      <c r="C374" s="10"/>
      <c r="D374" s="3"/>
      <c r="E374" s="3"/>
      <c r="F374" s="3"/>
      <c r="G374" s="3"/>
    </row>
    <row r="375" spans="1:7" ht="18" customHeight="1" x14ac:dyDescent="0.25">
      <c r="A375" s="3">
        <v>312</v>
      </c>
      <c r="B375" s="3"/>
      <c r="C375" s="10"/>
      <c r="D375" s="3"/>
      <c r="E375" s="3"/>
      <c r="F375" s="3"/>
      <c r="G375" s="3"/>
    </row>
    <row r="376" spans="1:7" ht="18" customHeight="1" x14ac:dyDescent="0.25">
      <c r="A376" s="3">
        <v>313</v>
      </c>
      <c r="B376" s="3"/>
      <c r="C376" s="10"/>
      <c r="D376" s="3"/>
      <c r="E376" s="3"/>
      <c r="F376" s="3"/>
      <c r="G376" s="3"/>
    </row>
    <row r="377" spans="1:7" ht="18" customHeight="1" x14ac:dyDescent="0.25">
      <c r="A377" s="3">
        <v>314</v>
      </c>
      <c r="B377" s="3"/>
      <c r="C377" s="10"/>
      <c r="D377" s="3"/>
      <c r="E377" s="3"/>
      <c r="F377" s="3"/>
      <c r="G377" s="3"/>
    </row>
    <row r="378" spans="1:7" ht="18" customHeight="1" x14ac:dyDescent="0.25">
      <c r="A378" s="3">
        <v>315</v>
      </c>
      <c r="B378" s="3"/>
      <c r="C378" s="10"/>
      <c r="D378" s="3"/>
      <c r="E378" s="3"/>
      <c r="F378" s="3"/>
      <c r="G378" s="3"/>
    </row>
    <row r="379" spans="1:7" ht="18" customHeight="1" x14ac:dyDescent="0.25">
      <c r="A379" s="3">
        <v>316</v>
      </c>
      <c r="B379" s="3"/>
      <c r="C379" s="10"/>
      <c r="D379" s="3"/>
      <c r="E379" s="3"/>
      <c r="F379" s="3"/>
      <c r="G379" s="3"/>
    </row>
    <row r="380" spans="1:7" ht="18" customHeight="1" x14ac:dyDescent="0.25">
      <c r="A380" s="3">
        <v>317</v>
      </c>
      <c r="B380" s="3"/>
      <c r="C380" s="10"/>
      <c r="D380" s="3"/>
      <c r="E380" s="3"/>
      <c r="F380" s="3"/>
      <c r="G380" s="3"/>
    </row>
    <row r="381" spans="1:7" ht="18" customHeight="1" x14ac:dyDescent="0.25">
      <c r="A381" s="3">
        <v>318</v>
      </c>
      <c r="B381" s="3"/>
      <c r="C381" s="10"/>
      <c r="D381" s="3"/>
      <c r="E381" s="3"/>
      <c r="F381" s="3"/>
      <c r="G381" s="3"/>
    </row>
    <row r="382" spans="1:7" ht="18" customHeight="1" x14ac:dyDescent="0.25">
      <c r="A382" s="3">
        <v>319</v>
      </c>
      <c r="B382" s="3"/>
      <c r="C382" s="10"/>
      <c r="D382" s="3"/>
      <c r="E382" s="3"/>
      <c r="F382" s="3"/>
      <c r="G382" s="3"/>
    </row>
    <row r="383" spans="1:7" ht="18" customHeight="1" x14ac:dyDescent="0.25">
      <c r="A383" s="3">
        <v>320</v>
      </c>
      <c r="B383" s="3"/>
      <c r="C383" s="10"/>
      <c r="D383" s="3"/>
      <c r="E383" s="3"/>
      <c r="F383" s="3"/>
      <c r="G383" s="3"/>
    </row>
    <row r="384" spans="1:7" ht="33" customHeight="1" x14ac:dyDescent="0.25">
      <c r="A384" s="31" t="str">
        <f>"اجمالى عدد "&amp;COUNTIF(C344:C383,"*")&amp;" شيك بمبلغ"</f>
        <v>اجمالى عدد 0 شيك بمبلغ</v>
      </c>
      <c r="B384" s="32"/>
      <c r="C384" s="32"/>
      <c r="D384" s="33"/>
      <c r="E384" s="13">
        <f>SUM(E343:E383)</f>
        <v>0</v>
      </c>
      <c r="F384" s="29" t="str">
        <f>NoToTxt(E384,"جنيه","قرش")&amp;" لاغير  "</f>
        <v xml:space="preserve">صفر لاغير  </v>
      </c>
      <c r="G384" s="30"/>
    </row>
    <row r="385" spans="1:7" ht="18" customHeight="1" x14ac:dyDescent="0.25">
      <c r="A385" s="23" t="s">
        <v>10013</v>
      </c>
      <c r="B385" s="23"/>
      <c r="C385" s="23"/>
      <c r="D385" s="23"/>
      <c r="E385" s="23"/>
      <c r="F385" s="23"/>
      <c r="G385" s="23"/>
    </row>
    <row r="386" spans="1:7" ht="32.25" customHeight="1" x14ac:dyDescent="0.25">
      <c r="A386" s="24" t="s">
        <v>10014</v>
      </c>
      <c r="B386" s="25"/>
      <c r="C386" s="25"/>
      <c r="D386" s="25"/>
      <c r="E386" s="25"/>
      <c r="F386" s="25"/>
      <c r="G386" s="25"/>
    </row>
    <row r="387" spans="1:7" ht="18" customHeight="1" x14ac:dyDescent="0.25">
      <c r="A387" s="25"/>
      <c r="B387" s="25"/>
      <c r="C387" s="25"/>
      <c r="D387" s="25"/>
      <c r="E387" s="25"/>
      <c r="F387" s="25"/>
      <c r="G387" s="25"/>
    </row>
  </sheetData>
  <mergeCells count="74">
    <mergeCell ref="A1:C1"/>
    <mergeCell ref="F1:G1"/>
    <mergeCell ref="A2:C2"/>
    <mergeCell ref="A3:C3"/>
    <mergeCell ref="A6:G6"/>
    <mergeCell ref="A97:G97"/>
    <mergeCell ref="B48:D48"/>
    <mergeCell ref="F48:G48"/>
    <mergeCell ref="A49:G49"/>
    <mergeCell ref="A50:G50"/>
    <mergeCell ref="A51:G51"/>
    <mergeCell ref="A52:G52"/>
    <mergeCell ref="A53:G53"/>
    <mergeCell ref="A55:D55"/>
    <mergeCell ref="F55:G55"/>
    <mergeCell ref="A96:D96"/>
    <mergeCell ref="F96:G96"/>
    <mergeCell ref="A98:G98"/>
    <mergeCell ref="A99:G99"/>
    <mergeCell ref="A100:G100"/>
    <mergeCell ref="A101:G101"/>
    <mergeCell ref="A103:D103"/>
    <mergeCell ref="F103:G103"/>
    <mergeCell ref="A193:G193"/>
    <mergeCell ref="A144:D144"/>
    <mergeCell ref="F144:G144"/>
    <mergeCell ref="A145:G145"/>
    <mergeCell ref="A146:G146"/>
    <mergeCell ref="A147:G147"/>
    <mergeCell ref="A148:G148"/>
    <mergeCell ref="A149:G149"/>
    <mergeCell ref="A151:D151"/>
    <mergeCell ref="F151:G151"/>
    <mergeCell ref="A192:D192"/>
    <mergeCell ref="F192:G192"/>
    <mergeCell ref="A194:G194"/>
    <mergeCell ref="A195:G195"/>
    <mergeCell ref="A196:G196"/>
    <mergeCell ref="A197:G197"/>
    <mergeCell ref="A199:D199"/>
    <mergeCell ref="F199:G199"/>
    <mergeCell ref="A289:G289"/>
    <mergeCell ref="A240:D240"/>
    <mergeCell ref="F240:G240"/>
    <mergeCell ref="A241:G241"/>
    <mergeCell ref="A242:G242"/>
    <mergeCell ref="A243:G243"/>
    <mergeCell ref="A244:G244"/>
    <mergeCell ref="A245:G245"/>
    <mergeCell ref="A247:D247"/>
    <mergeCell ref="F247:G247"/>
    <mergeCell ref="A288:D288"/>
    <mergeCell ref="F288:G288"/>
    <mergeCell ref="A291:G291"/>
    <mergeCell ref="A292:G292"/>
    <mergeCell ref="A293:G293"/>
    <mergeCell ref="A295:D295"/>
    <mergeCell ref="F295:G295"/>
    <mergeCell ref="A386:G386"/>
    <mergeCell ref="A387:G387"/>
    <mergeCell ref="A5:E5"/>
    <mergeCell ref="A341:G341"/>
    <mergeCell ref="A343:D343"/>
    <mergeCell ref="F343:G343"/>
    <mergeCell ref="A384:D384"/>
    <mergeCell ref="F384:G384"/>
    <mergeCell ref="A385:G385"/>
    <mergeCell ref="A336:D336"/>
    <mergeCell ref="F336:G336"/>
    <mergeCell ref="A337:G337"/>
    <mergeCell ref="A338:G338"/>
    <mergeCell ref="A339:G339"/>
    <mergeCell ref="A340:G340"/>
    <mergeCell ref="A290:G290"/>
  </mergeCells>
  <printOptions horizontalCentered="1"/>
  <pageMargins left="0.19" right="0.18" top="0.56999999999999995" bottom="0.28999999999999998" header="0.3" footer="0.3"/>
  <pageSetup paperSize="9" scale="78" orientation="portrait" r:id="rId1"/>
  <headerFooter>
    <oddHeader>&amp;L&amp;"Arial,Bold"&amp;12       Page &amp;P of &amp;N</oddHeader>
  </headerFooter>
  <rowBreaks count="7" manualBreakCount="7">
    <brk id="51" max="16383" man="1"/>
    <brk id="99" max="16383" man="1"/>
    <brk id="147" max="16383" man="1"/>
    <brk id="195" max="16383" man="1"/>
    <brk id="243" max="16383" man="1"/>
    <brk id="291" max="16383" man="1"/>
    <brk id="339" max="16383" man="1"/>
  </rowBreaks>
  <ignoredErrors>
    <ignoredError sqref="F5" unlocked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data</vt:lpstr>
      <vt:lpstr>حافظة شيكات محررة</vt:lpstr>
      <vt:lpstr>حافظة شيكات ملغاة</vt:lpstr>
      <vt:lpstr>data</vt:lpstr>
      <vt:lpstr>'حافظة شيكات محررة'!Print_Area</vt:lpstr>
      <vt:lpstr>'حافظة شيكات ملغاة'!Print_Area</vt:lpstr>
      <vt:lpstr>'حافظة شيكات محررة'!Print_Titles</vt:lpstr>
      <vt:lpstr>'حافظة شيكات ملغاة'!Print_Titles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2020-02-17T13:20:06Z</cp:lastPrinted>
  <dcterms:created xsi:type="dcterms:W3CDTF">2004-03-18T13:46:53Z</dcterms:created>
  <dcterms:modified xsi:type="dcterms:W3CDTF">2022-06-14T08:36:33Z</dcterms:modified>
</cp:coreProperties>
</file>