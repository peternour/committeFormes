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7632" yWindow="-12" windowWidth="7668" windowHeight="8568" tabRatio="882" firstSheet="1" activeTab="1"/>
  </bookViews>
  <sheets>
    <sheet name="data" sheetId="2" state="hidden" r:id="rId1"/>
    <sheet name="حافظة شيكات محررة" sheetId="3" r:id="rId2"/>
  </sheets>
  <functionGroups builtInGroupCount="17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شيكات محررة'!$A$1:$G$387</definedName>
    <definedName name="_xlnm.Print_Titles" localSheetId="1">'حافظة شيكات محررة'!$1:$3</definedName>
    <definedName name="Z_2718395A_D8DA_4CE3_9EA2_8C6FE44D2D54_.wvu.PrintArea" localSheetId="1" hidden="1">'حافظة شيكات محررة'!$A$1:$G$387</definedName>
    <definedName name="Z_2718395A_D8DA_4CE3_9EA2_8C6FE44D2D54_.wvu.PrintTitles" localSheetId="1" hidden="1">'حافظة شيكات محررة'!$1:$3</definedName>
  </definedNames>
  <calcPr calcId="144525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96" i="3" l="1"/>
  <c r="H48" i="3"/>
  <c r="A96" i="3" l="1"/>
  <c r="A384" i="3"/>
  <c r="A336" i="3"/>
  <c r="A288" i="3"/>
  <c r="A240" i="3"/>
  <c r="A192" i="3"/>
  <c r="A144" i="3"/>
  <c r="B48" i="3" l="1"/>
  <c r="E48" i="3"/>
  <c r="A52" i="3"/>
  <c r="A100" i="3" s="1"/>
  <c r="A148" i="3" s="1"/>
  <c r="A196" i="3" s="1"/>
  <c r="A244" i="3" s="1"/>
  <c r="A292" i="3" s="1"/>
  <c r="A340" i="3" s="1"/>
  <c r="A53" i="3"/>
  <c r="A101" i="3" s="1"/>
  <c r="A149" i="3" s="1"/>
  <c r="A197" i="3" s="1"/>
  <c r="A245" i="3" s="1"/>
  <c r="A293" i="3" s="1"/>
  <c r="A341" i="3" s="1"/>
  <c r="A12502" i="2"/>
  <c r="A12503" i="2"/>
  <c r="A12504" i="2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48" i="3"/>
  <c r="E55" i="3" l="1"/>
  <c r="F55" i="3"/>
  <c r="E96" i="3" l="1"/>
  <c r="F96" i="3"/>
  <c r="E103" i="3" l="1"/>
  <c r="F103" i="3"/>
  <c r="E144" i="3" l="1"/>
  <c r="F144" i="3"/>
  <c r="E151" i="3" l="1"/>
  <c r="F151" i="3"/>
  <c r="E192" i="3" l="1"/>
  <c r="F192" i="3"/>
  <c r="E199" i="3" l="1"/>
  <c r="F199" i="3"/>
  <c r="E240" i="3" l="1"/>
  <c r="F240" i="3"/>
  <c r="E247" i="3" l="1"/>
  <c r="F247" i="3"/>
  <c r="E288" i="3" l="1"/>
  <c r="F288" i="3"/>
  <c r="E295" i="3" l="1"/>
  <c r="F295" i="3"/>
  <c r="E336" i="3" l="1"/>
  <c r="F336" i="3"/>
  <c r="E343" i="3" l="1"/>
  <c r="F343" i="3"/>
  <c r="E384" i="3" l="1"/>
  <c r="F384" i="3"/>
</calcChain>
</file>

<file path=xl/sharedStrings.xml><?xml version="1.0" encoding="utf-8"?>
<sst xmlns="http://schemas.openxmlformats.org/spreadsheetml/2006/main" count="10667" uniqueCount="10606">
  <si>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</si>
  <si>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</si>
  <si>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</si>
  <si>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</si>
  <si>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</si>
  <si>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</si>
  <si>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</si>
  <si>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</si>
  <si>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</si>
  <si>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</si>
  <si>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</si>
  <si>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</si>
  <si>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</si>
  <si>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</si>
  <si>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</si>
  <si>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</si>
  <si>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</si>
  <si>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</si>
  <si>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</si>
  <si>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</si>
  <si>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</si>
  <si>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</si>
  <si>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</si>
  <si>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</si>
  <si>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</si>
  <si>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</si>
  <si>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</si>
  <si>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</si>
  <si>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</si>
  <si>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</si>
  <si>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</si>
  <si>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</si>
  <si>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</si>
  <si>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</si>
  <si>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</si>
  <si>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</si>
  <si>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</si>
  <si>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</si>
  <si>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</si>
  <si>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</si>
  <si>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</si>
  <si>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</si>
  <si>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</si>
  <si>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</si>
  <si>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</si>
  <si>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</si>
  <si>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</si>
  <si>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</si>
  <si>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</si>
  <si>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</si>
  <si>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</si>
  <si>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</si>
  <si>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</si>
  <si>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</si>
  <si>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</si>
  <si>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</si>
  <si>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</si>
  <si>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</si>
  <si>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</si>
  <si>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</si>
  <si>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</si>
  <si>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</si>
  <si>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</si>
  <si>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</si>
  <si>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</si>
  <si>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</si>
  <si>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</si>
  <si>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</si>
  <si>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</si>
  <si>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</si>
  <si>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</si>
  <si>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</si>
  <si>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</si>
  <si>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</si>
  <si>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</si>
  <si>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</si>
  <si>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</si>
  <si>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</si>
  <si>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</si>
  <si>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</si>
  <si>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</si>
  <si>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</si>
  <si>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</si>
  <si>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</si>
  <si>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</si>
  <si>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</si>
  <si>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</si>
  <si>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</si>
  <si>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</si>
  <si>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</si>
  <si>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</si>
  <si>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</si>
  <si>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</si>
  <si>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</si>
  <si>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</si>
  <si>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</si>
  <si>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</si>
  <si>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</si>
  <si>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</si>
  <si>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</si>
  <si>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</si>
  <si>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</si>
  <si>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</si>
  <si>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</si>
  <si>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</si>
  <si>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</si>
  <si>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</si>
  <si>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</si>
  <si>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</si>
  <si>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</si>
  <si>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</si>
  <si>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</si>
  <si>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</si>
  <si>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</si>
  <si>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</si>
  <si>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</si>
  <si>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</si>
  <si>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</si>
  <si>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</si>
  <si>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</si>
  <si>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</si>
  <si>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</si>
  <si>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</si>
  <si>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</si>
  <si>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</si>
  <si>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</si>
  <si>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</si>
  <si>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</si>
  <si>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</si>
  <si>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</si>
  <si>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</si>
  <si>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</si>
  <si>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</si>
  <si>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</si>
  <si>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</si>
  <si>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</si>
  <si>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</si>
  <si>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</si>
  <si>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</si>
  <si>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</si>
  <si>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</si>
  <si>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</si>
  <si>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</si>
  <si>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</si>
  <si>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</si>
  <si>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</si>
  <si>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</si>
  <si>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</si>
  <si>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</si>
  <si>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</si>
  <si>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</si>
  <si>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</si>
  <si>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</si>
  <si>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</si>
  <si>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</si>
  <si>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</si>
  <si>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</si>
  <si>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</si>
  <si>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</si>
  <si>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</si>
  <si>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</si>
  <si>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</si>
  <si>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</si>
  <si>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</si>
  <si>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</si>
  <si>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</si>
  <si>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</si>
  <si>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</si>
  <si>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</si>
  <si>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</si>
  <si>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</si>
  <si>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</si>
  <si>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</si>
  <si>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</si>
  <si>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</si>
  <si>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</si>
  <si>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</si>
  <si>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</si>
  <si>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</si>
  <si>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</si>
  <si>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</si>
  <si>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</si>
  <si>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</si>
  <si>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</si>
  <si>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</si>
  <si>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</si>
  <si>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</si>
  <si>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</si>
  <si>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</si>
  <si>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</si>
  <si>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</si>
  <si>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</si>
  <si>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</si>
  <si>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</si>
  <si>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</si>
  <si>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</si>
  <si>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</si>
  <si>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</si>
  <si>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</si>
  <si>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</si>
  <si>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</si>
  <si>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</si>
  <si>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</si>
  <si>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</si>
  <si>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</si>
  <si>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</si>
  <si>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</si>
  <si>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</si>
  <si>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</si>
  <si>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</si>
  <si>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</si>
  <si>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</si>
  <si>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</si>
  <si>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</si>
  <si>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</si>
  <si>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</si>
  <si>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</si>
  <si>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</si>
  <si>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</si>
  <si>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</si>
  <si>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</si>
  <si>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</si>
  <si>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</si>
  <si>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</si>
  <si>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</si>
  <si>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</si>
  <si>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</si>
  <si>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</si>
  <si>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</si>
  <si>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</si>
  <si>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</si>
  <si>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</si>
  <si>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</si>
  <si>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</si>
  <si>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</si>
  <si>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</si>
  <si>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</si>
  <si>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</si>
  <si>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</si>
  <si>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</si>
  <si>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</si>
  <si>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</si>
  <si>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</si>
  <si>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</si>
  <si>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</si>
  <si>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</si>
  <si>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</si>
  <si>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</si>
  <si>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</si>
  <si>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</si>
  <si>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</si>
  <si>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</si>
  <si>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</si>
  <si>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</si>
  <si>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</si>
  <si>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</si>
  <si>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</si>
  <si>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</si>
  <si>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</si>
  <si>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</si>
  <si>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</si>
  <si>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</si>
  <si>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</si>
  <si>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</si>
  <si>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</si>
  <si>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</si>
  <si>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</si>
  <si>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</si>
  <si>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</si>
  <si>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</si>
  <si>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</si>
  <si>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</si>
  <si>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</si>
  <si>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</si>
  <si>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</si>
  <si>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</si>
  <si>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</si>
  <si>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</si>
  <si>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</si>
  <si>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</si>
  <si>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</si>
  <si>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</si>
  <si>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</si>
  <si>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</si>
  <si>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</si>
  <si>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</si>
  <si>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</si>
  <si>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</si>
  <si>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</si>
  <si>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</si>
  <si>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</si>
  <si>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</si>
  <si>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</si>
  <si>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</si>
  <si>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</si>
  <si>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</si>
  <si>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</si>
  <si>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</si>
  <si>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</si>
  <si>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</si>
  <si>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</si>
  <si>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</si>
  <si>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</si>
  <si>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</si>
  <si>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</si>
  <si>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</si>
  <si>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</si>
  <si>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</si>
  <si>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</si>
  <si>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</si>
  <si>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</si>
  <si>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</si>
  <si>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</si>
  <si>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</si>
  <si>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</si>
  <si>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</si>
  <si>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</si>
  <si>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</si>
  <si>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</si>
  <si>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</si>
  <si>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</si>
  <si>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</si>
  <si>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</si>
  <si>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</si>
  <si>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</si>
  <si>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</si>
  <si>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</si>
  <si>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</si>
  <si>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</si>
  <si>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</si>
  <si>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</si>
  <si>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</si>
  <si>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</si>
  <si>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</si>
  <si>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</si>
  <si>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</si>
  <si>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</si>
  <si>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</si>
  <si>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</si>
  <si>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</si>
  <si>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</si>
  <si>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</si>
  <si>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</si>
  <si>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</si>
  <si>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</si>
  <si>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</si>
  <si>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</si>
  <si>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</si>
  <si>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</si>
  <si>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</si>
  <si>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</si>
  <si>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</si>
  <si>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</si>
  <si>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</si>
  <si>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</si>
  <si>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</si>
  <si>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</si>
  <si>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</si>
  <si>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</si>
  <si>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</si>
  <si>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</si>
  <si>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</si>
  <si>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</si>
  <si>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</si>
  <si>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</si>
  <si>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</si>
  <si>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</si>
  <si>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</si>
  <si>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</si>
  <si>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</si>
  <si>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</si>
  <si>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</si>
  <si>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</si>
  <si>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</si>
  <si>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</si>
  <si>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</si>
  <si>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</si>
  <si>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</si>
  <si>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</si>
  <si>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</si>
  <si>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</si>
  <si>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</si>
  <si>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</si>
  <si>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</si>
  <si>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</si>
  <si>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</si>
  <si>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</si>
  <si>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</si>
  <si>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</si>
  <si>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</si>
  <si>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</si>
  <si>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</si>
  <si>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</si>
  <si>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</si>
  <si>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</si>
  <si>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</si>
  <si>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</si>
  <si>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</si>
  <si>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</si>
  <si>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</si>
  <si>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</si>
  <si>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</si>
  <si>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</si>
  <si>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</si>
  <si>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</si>
  <si>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</si>
  <si>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</si>
  <si>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</si>
  <si>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</si>
  <si>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</si>
  <si>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</si>
  <si>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</si>
  <si>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</si>
  <si>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</si>
  <si>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</si>
  <si>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</si>
  <si>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</si>
  <si>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</si>
  <si>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</si>
  <si>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</si>
  <si>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</si>
  <si>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</si>
  <si>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</si>
  <si>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</si>
  <si>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</si>
  <si>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</si>
  <si>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</si>
  <si>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</si>
  <si>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</si>
  <si>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</si>
  <si>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</si>
  <si>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</si>
  <si>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</si>
  <si>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</si>
  <si>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</si>
  <si>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</si>
  <si>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</si>
  <si>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</si>
  <si>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</si>
  <si>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</si>
  <si>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</si>
  <si>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</si>
  <si>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</si>
  <si>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</si>
  <si>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</si>
  <si>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</si>
  <si>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</si>
  <si>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</si>
  <si>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</si>
  <si>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</si>
  <si>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</si>
  <si>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</si>
  <si>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</si>
  <si>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</si>
  <si>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</si>
  <si>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</si>
  <si>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</si>
  <si>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</si>
  <si>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</si>
  <si>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</si>
  <si>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</si>
  <si>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</si>
  <si>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</si>
  <si>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</si>
  <si>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</si>
  <si>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</si>
  <si>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</si>
  <si>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</si>
  <si>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</si>
  <si>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</si>
  <si>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</si>
  <si>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</si>
  <si>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</si>
  <si>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</si>
  <si>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</si>
  <si>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</si>
  <si>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</si>
  <si>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</si>
  <si>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</si>
  <si>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</si>
  <si>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</si>
  <si>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</si>
  <si>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</si>
  <si>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</si>
  <si>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</si>
  <si>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</si>
  <si>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</si>
  <si>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</si>
  <si>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</si>
  <si>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</si>
  <si>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</si>
  <si>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</si>
  <si>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</si>
  <si>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</si>
  <si>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</si>
  <si>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</si>
  <si>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</si>
  <si>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</si>
  <si>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</si>
  <si>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</si>
  <si>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</si>
  <si>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</si>
  <si>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</si>
  <si>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</si>
  <si>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</si>
  <si>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</si>
  <si>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</si>
  <si>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</si>
  <si>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</si>
  <si>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</si>
  <si>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</si>
  <si>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</si>
  <si>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</si>
  <si>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</si>
  <si>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</si>
  <si>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</si>
  <si>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</si>
  <si>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</si>
  <si>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</si>
  <si>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</si>
  <si>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</si>
  <si>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</si>
  <si>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</si>
  <si>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</si>
  <si>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</si>
  <si>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</si>
  <si>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</si>
  <si>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</si>
  <si>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</si>
  <si>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</si>
  <si>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</si>
  <si>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</si>
  <si>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</si>
  <si>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</si>
  <si>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</si>
  <si>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</si>
  <si>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</si>
  <si>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</si>
  <si>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</si>
  <si>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</si>
  <si>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</si>
  <si>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</si>
  <si>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</si>
  <si>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</si>
  <si>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</si>
  <si>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</si>
  <si>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</si>
  <si>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</si>
  <si>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</si>
  <si>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</si>
  <si>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</si>
  <si>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</si>
  <si>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</si>
  <si>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</si>
  <si>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</si>
  <si>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</si>
  <si>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</si>
  <si>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</si>
  <si>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</si>
  <si>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</si>
  <si>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</si>
  <si>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</si>
  <si>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</si>
  <si>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</si>
  <si>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</si>
  <si>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</si>
  <si>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</si>
  <si>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</si>
  <si>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</si>
  <si>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</si>
  <si>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</si>
  <si>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</si>
  <si>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</si>
  <si>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</si>
  <si>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</si>
  <si>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</si>
  <si>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</si>
  <si>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</si>
  <si>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</si>
  <si>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</si>
  <si>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</si>
  <si>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</si>
  <si>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</si>
  <si>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</si>
  <si>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</si>
  <si>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</si>
  <si>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</si>
  <si>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</si>
  <si>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</si>
  <si>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</si>
  <si>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</si>
  <si>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</si>
  <si>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</si>
  <si>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</si>
  <si>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</si>
  <si>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</si>
  <si>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</si>
  <si>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</si>
  <si>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</si>
  <si>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</si>
  <si>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</si>
  <si>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</si>
  <si>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</si>
  <si>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</si>
  <si>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</si>
  <si>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</si>
  <si>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</si>
  <si>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</si>
  <si>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</si>
  <si>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</si>
  <si>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</si>
  <si>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</si>
  <si>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</si>
  <si>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</si>
  <si>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</si>
  <si>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</si>
  <si>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</si>
  <si>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</si>
  <si>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</si>
  <si>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</si>
  <si>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</si>
  <si>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</si>
  <si>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</si>
  <si>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</si>
  <si>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</si>
  <si>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</si>
  <si>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</si>
  <si>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</si>
  <si>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</si>
  <si>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</si>
  <si>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</si>
  <si>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</si>
  <si>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</si>
  <si>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</si>
  <si>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</si>
  <si>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</si>
  <si>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</si>
  <si>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</si>
  <si>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</si>
  <si>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</si>
  <si>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</si>
  <si>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</si>
  <si>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</si>
  <si>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</si>
  <si>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</si>
  <si>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</si>
  <si>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</si>
  <si>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</si>
  <si>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</si>
  <si>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</si>
  <si>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</si>
  <si>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</si>
  <si>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</si>
  <si>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</si>
  <si>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</si>
  <si>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</si>
  <si>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</si>
  <si>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</si>
  <si>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</si>
  <si>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</si>
  <si>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</si>
  <si>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</si>
  <si>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</si>
  <si>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</si>
  <si>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</si>
  <si>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</si>
  <si>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</si>
  <si>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</si>
  <si>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</si>
  <si>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</si>
  <si>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</si>
  <si>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</si>
  <si>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</si>
  <si>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</si>
  <si>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</si>
  <si>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</si>
  <si>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</si>
  <si>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</si>
  <si>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</si>
  <si>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</si>
  <si>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</si>
  <si>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</si>
  <si>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</si>
  <si>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</si>
  <si>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</si>
  <si>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</si>
  <si>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</si>
  <si>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</si>
  <si>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</si>
  <si>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</si>
  <si>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</si>
  <si>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</si>
  <si>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</si>
  <si>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</si>
  <si>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</si>
  <si>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</si>
  <si>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</si>
  <si>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</si>
  <si>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</si>
  <si>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</si>
  <si>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</si>
  <si>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</si>
  <si>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</si>
  <si>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</si>
  <si>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</si>
  <si>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</si>
  <si>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</si>
  <si>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</si>
  <si>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</si>
  <si>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</si>
  <si>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</si>
  <si>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</si>
  <si>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</si>
  <si>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</si>
  <si>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</si>
  <si>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</si>
  <si>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</si>
  <si>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</si>
  <si>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</si>
  <si>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</si>
  <si>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</si>
  <si>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</si>
  <si>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</si>
  <si>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</si>
  <si>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</si>
  <si>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</si>
  <si>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</si>
  <si>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</si>
  <si>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</si>
  <si>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</si>
  <si>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</si>
  <si>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</si>
  <si>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</si>
  <si>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</si>
  <si>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</si>
  <si>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</si>
  <si>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</si>
  <si>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</si>
  <si>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</si>
  <si>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</si>
  <si>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</si>
  <si>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</si>
  <si>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</si>
  <si>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</si>
  <si>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</si>
  <si>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</si>
  <si>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</si>
  <si>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</si>
  <si>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</si>
  <si>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</si>
  <si>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</si>
  <si>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</si>
  <si>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</si>
  <si>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</si>
  <si>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</si>
  <si>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</si>
  <si>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</si>
  <si>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</si>
  <si>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</si>
  <si>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</si>
  <si>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</si>
  <si>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</si>
  <si>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</si>
  <si>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</si>
  <si>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</si>
  <si>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</si>
  <si>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</si>
  <si>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</si>
  <si>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</si>
  <si>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</si>
  <si>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</si>
  <si>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</si>
  <si>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</si>
  <si>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</si>
  <si>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</si>
  <si>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</si>
  <si>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</si>
  <si>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</si>
  <si>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</si>
  <si>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</si>
  <si>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</si>
  <si>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</si>
  <si>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</si>
  <si>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</si>
  <si>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</si>
  <si>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</si>
  <si>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</si>
  <si>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</si>
  <si>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</si>
  <si>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</si>
  <si>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</si>
  <si>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</si>
  <si>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</si>
  <si>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</si>
  <si>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</si>
  <si>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</si>
  <si>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</si>
  <si>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</si>
  <si>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</si>
  <si>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</si>
  <si>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</si>
  <si>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</si>
  <si>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</si>
  <si>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</si>
  <si>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</si>
  <si>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</si>
  <si>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</si>
  <si>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</si>
  <si>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</si>
  <si>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</si>
  <si>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</si>
  <si>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</si>
  <si>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</si>
  <si>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</si>
  <si>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</si>
  <si>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</si>
  <si>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</si>
  <si>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</si>
  <si>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</si>
  <si>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</si>
  <si>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</si>
  <si>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</si>
  <si>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</si>
  <si>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</si>
  <si>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</si>
  <si>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</si>
  <si>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</si>
  <si>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</si>
  <si>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</si>
  <si>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</si>
  <si>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</si>
  <si>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</si>
  <si>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</si>
  <si>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</si>
  <si>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</si>
  <si>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</si>
  <si>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</si>
  <si>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</si>
  <si>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</si>
  <si>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</si>
  <si>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</si>
  <si>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</si>
  <si>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</si>
  <si>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</si>
  <si>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</si>
  <si>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</si>
  <si>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</si>
  <si>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</si>
  <si>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</si>
  <si>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</si>
  <si>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</si>
  <si>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</si>
  <si>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</si>
  <si>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</si>
  <si>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</si>
  <si>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</si>
  <si>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</si>
  <si>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</si>
  <si>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</si>
  <si>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</si>
  <si>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</si>
  <si>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</si>
  <si>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</si>
  <si>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</si>
  <si>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</si>
  <si>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</si>
  <si>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</si>
  <si>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</si>
  <si>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</si>
  <si>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</si>
  <si>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</si>
  <si>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</si>
  <si>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</si>
  <si>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</si>
  <si>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</si>
  <si>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</si>
  <si>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</si>
  <si>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</si>
  <si>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</si>
  <si>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</si>
  <si>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</si>
  <si>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</si>
  <si>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</si>
  <si>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</si>
  <si>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</si>
  <si>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</si>
  <si>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</si>
  <si>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</si>
  <si>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</si>
  <si>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</si>
  <si>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</si>
  <si>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</si>
  <si>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</si>
  <si>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</si>
  <si>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</si>
  <si>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</si>
  <si>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</si>
  <si>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</si>
  <si>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</si>
  <si>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</si>
  <si>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</si>
  <si>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</si>
  <si>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</si>
  <si>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</si>
  <si>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</si>
  <si>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</si>
  <si>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</si>
  <si>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</si>
  <si>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</si>
  <si>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</si>
  <si>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</si>
  <si>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</si>
  <si>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</si>
  <si>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</si>
  <si>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</si>
  <si>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</si>
  <si>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</si>
  <si>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</si>
  <si>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</si>
  <si>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</si>
  <si>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</si>
  <si>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</si>
  <si>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</si>
  <si>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</si>
  <si>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</si>
  <si>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</si>
  <si>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</si>
  <si>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</si>
  <si>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</si>
  <si>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</si>
  <si>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</si>
  <si>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</si>
  <si>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</si>
  <si>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</si>
  <si>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</si>
  <si>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</si>
  <si>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</si>
  <si>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</si>
  <si>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</si>
  <si>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</si>
  <si>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</si>
  <si>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</si>
  <si>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</si>
  <si>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</si>
  <si>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</si>
  <si>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</si>
  <si>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</si>
  <si>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</si>
  <si>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</si>
  <si>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</si>
  <si>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</si>
  <si>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</si>
  <si>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</si>
  <si>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</si>
  <si>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</si>
  <si>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</si>
  <si>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</si>
  <si>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</si>
  <si>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</si>
  <si>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</si>
  <si>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</si>
  <si>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</si>
  <si>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</si>
  <si>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</si>
  <si>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</si>
  <si>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</si>
  <si>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</si>
  <si>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</si>
  <si>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</si>
  <si>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</si>
  <si>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</si>
  <si>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</si>
  <si>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</si>
  <si>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</si>
  <si>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</si>
  <si>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</si>
  <si>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</si>
  <si>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</si>
  <si>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</si>
  <si>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</si>
  <si>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</si>
  <si>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</si>
  <si>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</si>
  <si>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</si>
  <si>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</si>
  <si>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</si>
  <si>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</si>
  <si>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</si>
  <si>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</si>
  <si>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</si>
  <si>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</si>
  <si>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</si>
  <si>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</si>
  <si>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</si>
  <si>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</si>
  <si>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</si>
  <si>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</si>
  <si>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</si>
  <si>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</si>
  <si>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</si>
  <si>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</si>
  <si>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</si>
  <si>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</si>
  <si>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</si>
  <si>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</si>
  <si>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</si>
  <si>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</si>
  <si>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</si>
  <si>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</si>
  <si>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</si>
  <si>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</si>
  <si>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</si>
  <si>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</si>
  <si>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</si>
  <si>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</si>
  <si>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</si>
  <si>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</si>
  <si>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</si>
  <si>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</si>
  <si>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</si>
  <si>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</si>
  <si>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</si>
  <si>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</si>
  <si>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</si>
  <si>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</si>
  <si>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</si>
  <si>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</si>
  <si>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</si>
  <si>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</si>
  <si>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</si>
  <si>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</si>
  <si>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</si>
  <si>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</si>
  <si>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</si>
  <si>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</si>
  <si>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</si>
  <si>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</si>
  <si>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</si>
  <si>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</si>
  <si>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</si>
  <si>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</si>
  <si>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</si>
  <si>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</si>
  <si>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</si>
  <si>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</si>
  <si>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</si>
  <si>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</si>
  <si>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</si>
  <si>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</si>
  <si>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</si>
  <si>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</si>
  <si>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</si>
  <si>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</si>
  <si>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</si>
  <si>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</si>
  <si>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</si>
  <si>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</si>
  <si>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</si>
  <si>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</si>
  <si>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</si>
  <si>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</si>
  <si>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</si>
  <si>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</si>
  <si>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</si>
  <si>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</si>
  <si>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</si>
  <si>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</si>
  <si>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</si>
  <si>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</si>
  <si>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</si>
  <si>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</si>
  <si>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</si>
  <si>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</si>
  <si>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</si>
  <si>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</si>
  <si>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</si>
  <si>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</si>
  <si>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</si>
  <si>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</si>
  <si>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</si>
  <si>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</si>
  <si>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</si>
  <si>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</si>
  <si>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</si>
  <si>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</si>
  <si>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</si>
  <si>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</si>
  <si>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</si>
  <si>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</si>
  <si>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</si>
  <si>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</si>
  <si>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</si>
  <si>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</si>
  <si>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</si>
  <si>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</si>
  <si>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</si>
  <si>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</si>
  <si>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</si>
  <si>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</si>
  <si>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</si>
  <si>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</si>
  <si>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</si>
  <si>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</si>
  <si>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</si>
  <si>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</si>
  <si>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</si>
  <si>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</si>
  <si>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</si>
  <si>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</si>
  <si>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</si>
  <si>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</si>
  <si>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</si>
  <si>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</si>
  <si>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</si>
  <si>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</si>
  <si>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</si>
  <si>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</si>
  <si>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</si>
  <si>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</si>
  <si>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</si>
  <si>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</si>
  <si>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</si>
  <si>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</si>
  <si>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</si>
  <si>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</si>
  <si>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</si>
  <si>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</si>
  <si>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</si>
  <si>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</si>
  <si>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</si>
  <si>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</si>
  <si>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</si>
  <si>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</si>
  <si>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</si>
  <si>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</si>
  <si>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</si>
  <si>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</si>
  <si>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</si>
  <si>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</si>
  <si>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</si>
  <si>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</si>
  <si>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</si>
  <si>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</si>
  <si>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</si>
  <si>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</si>
  <si>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</si>
  <si>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</si>
  <si>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</si>
  <si>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</si>
  <si>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</si>
  <si>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</si>
  <si>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</si>
  <si>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</si>
  <si>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</si>
  <si>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</si>
  <si>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</si>
  <si>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</si>
  <si>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</si>
  <si>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</si>
  <si>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</si>
  <si>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</si>
  <si>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</si>
  <si>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</si>
  <si>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</si>
  <si>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</si>
  <si>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</si>
  <si>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</si>
  <si>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</si>
  <si>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</si>
  <si>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</si>
  <si>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</si>
  <si>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</si>
  <si>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</si>
  <si>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</si>
  <si>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</si>
  <si>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</si>
  <si>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</si>
  <si>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</si>
  <si>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</si>
  <si>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</si>
  <si>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</si>
  <si>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</si>
  <si>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</si>
  <si>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</si>
  <si>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</si>
  <si>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</si>
  <si>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</si>
  <si>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</si>
  <si>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</si>
  <si>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</si>
  <si>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</si>
  <si>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</si>
  <si>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</si>
  <si>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</si>
  <si>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</si>
  <si>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</si>
  <si>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</si>
  <si>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</si>
  <si>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</si>
  <si>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</si>
  <si>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</si>
  <si>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</si>
  <si>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</si>
  <si>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</si>
  <si>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</si>
  <si>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</si>
  <si>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</si>
  <si>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</si>
  <si>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</si>
  <si>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</si>
  <si>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</si>
  <si>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</si>
  <si>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</si>
  <si>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</si>
  <si>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</si>
  <si>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</si>
  <si>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</si>
  <si>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</si>
  <si>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</si>
  <si>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</si>
  <si>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</si>
  <si>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</si>
  <si>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</si>
  <si>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</si>
  <si>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</si>
  <si>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</si>
  <si>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</si>
  <si>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</si>
  <si>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</si>
  <si>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</si>
  <si>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</si>
  <si>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</si>
  <si>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</si>
  <si>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</si>
  <si>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</si>
  <si>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</si>
  <si>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</si>
  <si>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</si>
  <si>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</si>
  <si>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</si>
  <si>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</si>
  <si>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</si>
  <si>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</si>
  <si>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</si>
  <si>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</si>
  <si>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</si>
  <si>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</si>
  <si>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</si>
  <si>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</si>
  <si>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</si>
  <si>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</si>
  <si>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</si>
  <si>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</si>
  <si>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</si>
  <si>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</si>
  <si>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</si>
  <si>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</si>
  <si>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</si>
  <si>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</si>
  <si>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</si>
  <si>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</si>
  <si>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</si>
  <si>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</si>
  <si>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</si>
  <si>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</si>
  <si>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</si>
  <si>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</si>
  <si>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</si>
  <si>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</si>
  <si>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</si>
  <si>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</si>
  <si>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</si>
  <si>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</si>
  <si>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</si>
  <si>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</si>
  <si>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</si>
  <si>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</si>
  <si>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</si>
  <si>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</si>
  <si>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</si>
  <si>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</si>
  <si>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</si>
  <si>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</si>
  <si>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</si>
  <si>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</si>
  <si>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</si>
  <si>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</si>
  <si>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</si>
  <si>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</si>
  <si>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</si>
  <si>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</si>
  <si>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</si>
  <si>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</si>
  <si>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</si>
  <si>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</si>
  <si>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</si>
  <si>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</si>
  <si>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</si>
  <si>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</si>
  <si>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</si>
  <si>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</si>
  <si>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</si>
  <si>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</si>
  <si>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</si>
  <si>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</si>
  <si>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</si>
  <si>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</si>
  <si>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</si>
  <si>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</si>
  <si>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</si>
  <si>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</si>
  <si>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</si>
  <si>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</si>
  <si>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</si>
  <si>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</si>
  <si>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</si>
  <si>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</si>
  <si>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</si>
  <si>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</si>
  <si>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</si>
  <si>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</si>
  <si>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</si>
  <si>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</si>
  <si>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</si>
  <si>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</si>
  <si>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</si>
  <si>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</si>
  <si>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</si>
  <si>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</si>
  <si>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</si>
  <si>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</si>
  <si>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</si>
  <si>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</si>
  <si>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</si>
  <si>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</si>
  <si>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</si>
  <si>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</si>
  <si>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</si>
  <si>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</si>
  <si>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</si>
  <si>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</si>
  <si>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</si>
  <si>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</si>
  <si>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</si>
  <si>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</si>
  <si>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</si>
  <si>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</si>
  <si>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</si>
  <si>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</si>
  <si>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</si>
  <si>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</si>
  <si>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</si>
  <si>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</si>
  <si>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</si>
  <si>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</si>
  <si>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</si>
  <si>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</si>
  <si>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</si>
  <si>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</si>
  <si>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</si>
  <si>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</si>
  <si>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</si>
  <si>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</si>
  <si>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</si>
  <si>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</si>
  <si>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</si>
  <si>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</si>
  <si>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</si>
  <si>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</si>
  <si>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</si>
  <si>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</si>
  <si>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</si>
  <si>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</si>
  <si>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</si>
  <si>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</si>
  <si>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</si>
  <si>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</si>
  <si>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</si>
  <si>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</si>
  <si>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</si>
  <si>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</si>
  <si>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</si>
  <si>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</si>
  <si>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</si>
  <si>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</si>
  <si>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</si>
  <si>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</si>
  <si>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</si>
  <si>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</si>
  <si>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</si>
  <si>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</si>
  <si>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</si>
  <si>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</si>
  <si>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</si>
  <si>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</si>
  <si>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</si>
  <si>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</si>
  <si>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</si>
  <si>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</si>
  <si>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</si>
  <si>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</si>
  <si>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</si>
  <si>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</si>
  <si>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</si>
  <si>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</si>
  <si>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</si>
  <si>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</si>
  <si>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</si>
  <si>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</si>
  <si>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</si>
  <si>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</si>
  <si>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</si>
  <si>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</si>
  <si>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</si>
  <si>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</si>
  <si>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</si>
  <si>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</si>
  <si>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</si>
  <si>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</si>
  <si>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</si>
  <si>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</si>
  <si>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</si>
  <si>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</si>
  <si>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</si>
  <si>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</si>
  <si>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</si>
  <si>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</si>
  <si>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</si>
  <si>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</si>
  <si>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</si>
  <si>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</si>
  <si>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</si>
  <si>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</si>
  <si>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</si>
  <si>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</si>
  <si>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</si>
  <si>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</si>
  <si>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</si>
  <si>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</si>
  <si>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</si>
  <si>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</si>
  <si>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</si>
  <si>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</si>
  <si>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</si>
  <si>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</si>
  <si>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</si>
  <si>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</si>
  <si>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</si>
  <si>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</si>
  <si>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</si>
  <si>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</si>
  <si>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</si>
  <si>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</si>
  <si>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</si>
  <si>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</si>
  <si>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</si>
  <si>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</si>
  <si>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</si>
  <si>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</si>
  <si>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</si>
  <si>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</si>
  <si>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</si>
  <si>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</si>
  <si>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</si>
  <si>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</si>
  <si>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</si>
  <si>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</si>
  <si>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</si>
  <si>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</si>
  <si>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</si>
  <si>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</si>
  <si>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</si>
  <si>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</si>
  <si>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</si>
  <si>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</si>
  <si>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</si>
  <si>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</si>
  <si>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</si>
  <si>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</si>
  <si>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</si>
  <si>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</si>
  <si>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</si>
  <si>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</si>
  <si>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</si>
  <si>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</si>
  <si>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</si>
  <si>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</si>
  <si>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</si>
  <si>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</si>
  <si>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</si>
  <si>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</si>
  <si>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</si>
  <si>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</si>
  <si>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</si>
  <si>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</si>
  <si>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</si>
  <si>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</si>
  <si>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</si>
  <si>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</si>
  <si>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</si>
  <si>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</si>
  <si>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</si>
  <si>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</si>
  <si>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</si>
  <si>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</si>
  <si>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</si>
  <si>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</si>
  <si>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</si>
  <si>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</si>
  <si>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</si>
  <si>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</si>
  <si>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</si>
  <si>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</si>
  <si>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</si>
  <si>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</si>
  <si>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</si>
  <si>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</si>
  <si>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</si>
  <si>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</si>
  <si>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</si>
  <si>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</si>
  <si>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</si>
  <si>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</si>
  <si>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</si>
  <si>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</si>
  <si>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</si>
  <si>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</si>
  <si>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</si>
  <si>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</si>
  <si>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</si>
  <si>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</si>
  <si>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</si>
  <si>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</si>
  <si>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</si>
  <si>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</si>
  <si>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</si>
  <si>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</si>
  <si>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</si>
  <si>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</si>
  <si>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</si>
  <si>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</si>
  <si>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</si>
  <si>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</si>
  <si>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</si>
  <si>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</si>
  <si>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</si>
  <si>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</si>
  <si>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</si>
  <si>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</si>
  <si>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</si>
  <si>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</si>
  <si>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</si>
  <si>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</si>
  <si>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</si>
  <si>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</si>
  <si>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</si>
  <si>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</si>
  <si>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</si>
  <si>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</si>
  <si>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</si>
  <si>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</si>
  <si>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</si>
  <si>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</si>
  <si>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</si>
  <si>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</si>
  <si>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</si>
  <si>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</si>
  <si>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</si>
  <si>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</si>
  <si>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</si>
  <si>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</si>
  <si>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</si>
  <si>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</si>
  <si>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</si>
  <si>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</si>
  <si>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</si>
  <si>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</si>
  <si>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</si>
  <si>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</si>
  <si>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</si>
  <si>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</si>
  <si>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</si>
  <si>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</si>
  <si>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</si>
  <si>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</si>
  <si>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</si>
  <si>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</si>
  <si>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</si>
  <si>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</si>
  <si>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</si>
  <si>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</si>
  <si>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</si>
  <si>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</si>
  <si>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</si>
  <si>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</si>
  <si>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</si>
  <si>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</si>
  <si>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</si>
  <si>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</si>
  <si>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</si>
  <si>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</si>
  <si>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</si>
  <si>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</si>
  <si>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</si>
  <si>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</si>
  <si>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</si>
  <si>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</si>
  <si>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</si>
  <si>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</si>
  <si>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</si>
  <si>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</si>
  <si>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</si>
  <si>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</si>
  <si>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</si>
  <si>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</si>
  <si>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</si>
  <si>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</si>
  <si>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</si>
  <si>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</si>
  <si>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</si>
  <si>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</si>
  <si>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</si>
  <si>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</si>
  <si>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</si>
  <si>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</si>
  <si>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</si>
  <si>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</si>
  <si>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</si>
  <si>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</si>
  <si>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</si>
  <si>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</si>
  <si>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</si>
  <si>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</si>
  <si>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</si>
  <si>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</si>
  <si>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</si>
  <si>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</si>
  <si>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</si>
  <si>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</si>
  <si>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</si>
  <si>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</si>
  <si>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</si>
  <si>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</si>
  <si>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</si>
  <si>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</si>
  <si>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</si>
  <si>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</si>
  <si>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</si>
  <si>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</si>
  <si>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</si>
  <si>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</si>
  <si>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</si>
  <si>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</si>
  <si>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</si>
  <si>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</si>
  <si>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</si>
  <si>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</si>
  <si>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</si>
  <si>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</si>
  <si>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</si>
  <si>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</si>
  <si>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</si>
  <si>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</si>
  <si>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</si>
  <si>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</si>
  <si>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</si>
  <si>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</si>
  <si>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</si>
  <si>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</si>
  <si>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</si>
  <si>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</si>
  <si>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</si>
  <si>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</si>
  <si>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</si>
  <si>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</si>
  <si>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</si>
  <si>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</si>
  <si>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</si>
  <si>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</si>
  <si>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</si>
  <si>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</si>
  <si>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</si>
  <si>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</si>
  <si>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</si>
  <si>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</si>
  <si>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</si>
  <si>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</si>
  <si>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</si>
  <si>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</si>
  <si>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</si>
  <si>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</si>
  <si>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</si>
  <si>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</si>
  <si>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</si>
  <si>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</si>
  <si>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</si>
  <si>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</si>
  <si>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</si>
  <si>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</si>
  <si>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</si>
  <si>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</si>
  <si>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</si>
  <si>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</si>
  <si>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</si>
  <si>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</si>
  <si>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</si>
  <si>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</si>
  <si>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</si>
  <si>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</si>
  <si>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</si>
  <si>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</si>
  <si>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</si>
  <si>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</si>
  <si>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</si>
  <si>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</si>
  <si>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</si>
  <si>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</si>
  <si>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</si>
  <si>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</si>
  <si>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</si>
  <si>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</si>
  <si>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</si>
  <si>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</si>
  <si>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</si>
  <si>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</si>
  <si>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</si>
  <si>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</si>
  <si>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</si>
  <si>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</si>
  <si>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</si>
  <si>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</si>
  <si>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</si>
  <si>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</si>
  <si>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</si>
  <si>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</si>
  <si>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</si>
  <si>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</si>
  <si>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</si>
  <si>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</si>
  <si>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</si>
  <si>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</si>
  <si>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</si>
  <si>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</si>
  <si>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</si>
  <si>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</si>
  <si>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</si>
  <si>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</si>
  <si>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</si>
  <si>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</si>
  <si>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</si>
  <si>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</si>
  <si>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</si>
  <si>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</si>
  <si>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</si>
  <si>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</si>
  <si>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</si>
  <si>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</si>
  <si>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</si>
  <si>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</si>
  <si>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</si>
  <si>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</si>
  <si>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</si>
  <si>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</si>
  <si>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</si>
  <si>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</si>
  <si>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</si>
  <si>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</si>
  <si>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</si>
  <si>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</si>
  <si>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</si>
  <si>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</si>
  <si>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</si>
  <si>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</si>
  <si>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</si>
  <si>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</si>
  <si>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</si>
  <si>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</si>
  <si>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</si>
  <si>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</si>
  <si>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</si>
  <si>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</si>
  <si>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</si>
  <si>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</si>
  <si>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</si>
  <si>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</si>
  <si>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</si>
  <si>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</si>
  <si>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</si>
  <si>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</si>
  <si>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</si>
  <si>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</si>
  <si>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</si>
  <si>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</si>
  <si>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</si>
  <si>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</si>
  <si>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</si>
  <si>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</si>
  <si>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</si>
  <si>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</si>
  <si>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</si>
  <si>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</si>
  <si>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</si>
  <si>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</si>
  <si>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</si>
  <si>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</si>
  <si>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</si>
  <si>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</si>
  <si>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</si>
  <si>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</si>
  <si>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</si>
  <si>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</si>
  <si>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</si>
  <si>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</si>
  <si>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</si>
  <si>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</si>
  <si>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</si>
  <si>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</si>
  <si>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</si>
  <si>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</si>
  <si>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</si>
  <si>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</si>
  <si>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</si>
  <si>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</si>
  <si>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</si>
  <si>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</si>
  <si>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</si>
  <si>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</si>
  <si>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</si>
  <si>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</si>
  <si>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</si>
  <si>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</si>
  <si>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</si>
  <si>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</si>
  <si>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</si>
  <si>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</si>
  <si>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</si>
  <si>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</si>
  <si>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</si>
  <si>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</si>
  <si>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</si>
  <si>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</si>
  <si>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</si>
  <si>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</si>
  <si>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</si>
  <si>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</si>
  <si>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</si>
  <si>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</si>
  <si>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</si>
  <si>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</si>
  <si>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</si>
  <si>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</si>
  <si>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</si>
  <si>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</si>
  <si>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</si>
  <si>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</si>
  <si>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</si>
  <si>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</si>
  <si>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</si>
  <si>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</si>
  <si>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</si>
  <si>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</si>
  <si>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</si>
  <si>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</si>
  <si>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</si>
  <si>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</si>
  <si>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</si>
  <si>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</si>
  <si>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</si>
  <si>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</si>
  <si>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</si>
  <si>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</si>
  <si>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</si>
  <si>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</si>
  <si>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</si>
  <si>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</si>
  <si>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</si>
  <si>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</si>
  <si>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</si>
  <si>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</si>
  <si>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</si>
  <si>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</si>
  <si>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</si>
  <si>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</si>
  <si>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</si>
  <si>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</si>
  <si>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</si>
  <si>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</si>
  <si>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</si>
  <si>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</si>
  <si>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</si>
  <si>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</si>
  <si>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</si>
  <si>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</si>
  <si>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</si>
  <si>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</si>
  <si>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</si>
  <si>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</si>
  <si>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</si>
  <si>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</si>
  <si>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</si>
  <si>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</si>
  <si>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</si>
  <si>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</si>
  <si>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</si>
  <si>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</si>
  <si>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</si>
  <si>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</si>
  <si>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</si>
  <si>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</si>
  <si>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</si>
  <si>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</si>
  <si>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</si>
  <si>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</si>
  <si>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</si>
  <si>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</si>
  <si>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</si>
  <si>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</si>
  <si>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</si>
  <si>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</si>
  <si>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</si>
  <si>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</si>
  <si>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</si>
  <si>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</si>
  <si>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</si>
  <si>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</si>
  <si>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</si>
  <si>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</si>
  <si>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</si>
  <si>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</si>
  <si>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</si>
  <si>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</si>
  <si>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</si>
  <si>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</si>
  <si>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</si>
  <si>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</si>
  <si>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</si>
  <si>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</si>
  <si>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</si>
  <si>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</si>
  <si>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</si>
  <si>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</si>
  <si>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</si>
  <si>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</si>
  <si>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</si>
  <si>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</si>
  <si>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</si>
  <si>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</si>
  <si>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</si>
  <si>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</si>
  <si>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</si>
  <si>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</si>
  <si>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</si>
  <si>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</si>
  <si>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</si>
  <si>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</si>
  <si>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</si>
  <si>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</si>
  <si>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</si>
  <si>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</si>
  <si>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</si>
  <si>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</si>
  <si>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</si>
  <si>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</si>
  <si>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</si>
  <si>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</si>
  <si>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</si>
  <si>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</si>
  <si>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</si>
  <si>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</si>
  <si>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</si>
  <si>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</si>
  <si>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</si>
  <si>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</si>
  <si>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</si>
  <si>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</si>
  <si>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</si>
  <si>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</si>
  <si>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</si>
  <si>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</si>
  <si>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</si>
  <si>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</si>
  <si>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</si>
  <si>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</si>
  <si>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</si>
  <si>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</si>
  <si>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</si>
  <si>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</si>
  <si>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</si>
  <si>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</si>
  <si>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</si>
  <si>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</si>
  <si>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</si>
  <si>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</si>
  <si>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</si>
  <si>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</si>
  <si>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</si>
  <si>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</si>
  <si>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</si>
  <si>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</si>
  <si>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</si>
  <si>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</si>
  <si>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</si>
  <si>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</si>
  <si>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</si>
  <si>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</si>
  <si>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</si>
  <si>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</si>
  <si>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</si>
  <si>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</si>
  <si>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</si>
  <si>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</si>
  <si>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</si>
  <si>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</si>
  <si>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</si>
  <si>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</si>
  <si>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</si>
  <si>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</si>
  <si>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</si>
  <si>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</si>
  <si>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</si>
  <si>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</si>
  <si>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</si>
  <si>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</si>
  <si>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</si>
  <si>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</si>
  <si>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</si>
  <si>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</si>
  <si>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</si>
  <si>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</si>
  <si>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</si>
  <si>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</si>
  <si>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</si>
  <si>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</si>
  <si>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</si>
  <si>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</si>
  <si>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</si>
  <si>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</si>
  <si>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</si>
  <si>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</si>
  <si>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</si>
  <si>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</si>
  <si>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</si>
  <si>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</si>
  <si>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</si>
  <si>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</si>
  <si>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</si>
  <si>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</si>
  <si>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</si>
  <si>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</si>
  <si>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</si>
  <si>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</si>
  <si>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</si>
  <si>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</si>
  <si>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</si>
  <si>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</si>
  <si>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</si>
  <si>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</si>
  <si>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</si>
  <si>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</si>
  <si>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</si>
  <si>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</si>
  <si>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</si>
  <si>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</si>
  <si>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</si>
  <si>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</si>
  <si>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</si>
  <si>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</si>
  <si>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</si>
  <si>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</si>
  <si>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</si>
  <si>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</si>
  <si>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</si>
  <si>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</si>
  <si>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</si>
  <si>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</si>
  <si>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</si>
  <si>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</si>
  <si>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</si>
  <si>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</si>
  <si>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</si>
  <si>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</si>
  <si>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</si>
  <si>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</si>
  <si>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</si>
  <si>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</si>
  <si>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</si>
  <si>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</si>
  <si>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</si>
  <si>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</si>
  <si>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</si>
  <si>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</si>
  <si>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</si>
  <si>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</si>
  <si>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</si>
  <si>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</si>
  <si>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</si>
  <si>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</si>
  <si>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</si>
  <si>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</si>
  <si>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</si>
  <si>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</si>
  <si>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</si>
  <si>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</si>
  <si>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</si>
  <si>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</si>
  <si>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</si>
  <si>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</si>
  <si>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</si>
  <si>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</si>
  <si>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</si>
  <si>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</si>
  <si>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</si>
  <si>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</si>
  <si>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</si>
  <si>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</si>
  <si>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</si>
  <si>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</si>
  <si>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</si>
  <si>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</si>
  <si>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</si>
  <si>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</si>
  <si>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</si>
  <si>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</si>
  <si>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</si>
  <si>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</si>
  <si>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</si>
  <si>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</si>
  <si>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</si>
  <si>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</si>
  <si>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</si>
  <si>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</si>
  <si>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</si>
  <si>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</si>
  <si>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</si>
  <si>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</si>
  <si>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</si>
  <si>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</si>
  <si>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</si>
  <si>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</si>
  <si>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</si>
  <si>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</si>
  <si>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</si>
  <si>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</si>
  <si>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</si>
  <si>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</si>
  <si>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</si>
  <si>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</si>
  <si>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</si>
  <si>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</si>
  <si>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</si>
  <si>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</si>
  <si>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</si>
  <si>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</si>
  <si>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</si>
  <si>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</si>
  <si>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</si>
  <si>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</si>
  <si>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</si>
  <si>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</si>
  <si>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</si>
  <si>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</si>
  <si>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</si>
  <si>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</si>
  <si>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</si>
  <si>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</si>
  <si>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</si>
  <si>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</si>
  <si>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</si>
  <si>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</si>
  <si>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</si>
  <si>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</si>
  <si>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</si>
  <si>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</si>
  <si>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</si>
  <si>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</si>
  <si>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</si>
  <si>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</si>
  <si>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</si>
  <si>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</si>
  <si>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</si>
  <si>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</si>
  <si>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</si>
  <si>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</si>
  <si>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</si>
  <si>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</si>
  <si>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</si>
  <si>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</si>
  <si>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</si>
  <si>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</si>
  <si>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</si>
  <si>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</si>
  <si>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</si>
  <si>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</si>
  <si>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</si>
  <si>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</si>
  <si>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</si>
  <si>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</si>
  <si>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</si>
  <si>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</si>
  <si>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</si>
  <si>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</si>
  <si>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</si>
  <si>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</si>
  <si>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</si>
  <si>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</si>
  <si>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</si>
  <si>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</si>
  <si>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</si>
  <si>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</si>
  <si>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</si>
  <si>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</si>
  <si>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</si>
  <si>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</si>
  <si>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</si>
  <si>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</si>
  <si>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</si>
  <si>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</si>
  <si>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</si>
  <si>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</si>
  <si>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</si>
  <si>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</si>
  <si>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</si>
  <si>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</si>
  <si>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</si>
  <si>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</si>
  <si>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</si>
  <si>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</si>
  <si>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</si>
  <si>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</si>
  <si>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</si>
  <si>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</si>
  <si>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</si>
  <si>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</si>
  <si>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</si>
  <si>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</si>
  <si>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</si>
  <si>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</si>
  <si>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</si>
  <si>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</si>
  <si>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</si>
  <si>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</si>
  <si>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</si>
  <si>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</si>
  <si>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</si>
  <si>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</si>
  <si>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</si>
  <si>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</si>
  <si>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</si>
  <si>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</si>
  <si>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</si>
  <si>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</si>
  <si>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</si>
  <si>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</si>
  <si>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</si>
  <si>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</si>
  <si>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</si>
  <si>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</si>
  <si>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</si>
  <si>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</si>
  <si>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</si>
  <si>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</si>
  <si>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</si>
  <si>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</si>
  <si>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</si>
  <si>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</si>
  <si>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</si>
  <si>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</si>
  <si>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</si>
  <si>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</si>
  <si>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</si>
  <si>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</si>
  <si>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</si>
  <si>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</si>
  <si>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</si>
  <si>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</si>
  <si>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</si>
  <si>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</si>
  <si>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</si>
  <si>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</si>
  <si>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</si>
  <si>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</si>
  <si>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</si>
  <si>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</si>
  <si>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</si>
  <si>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</si>
  <si>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</si>
  <si>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</si>
  <si>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</si>
  <si>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</si>
  <si>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</si>
  <si>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</si>
  <si>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</si>
  <si>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</si>
  <si>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</si>
  <si>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</si>
  <si>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</si>
  <si>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</si>
  <si>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</si>
  <si>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</si>
  <si>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</si>
  <si>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</si>
  <si>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</si>
  <si>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</si>
  <si>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</si>
  <si>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</si>
  <si>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</si>
  <si>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</si>
  <si>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</si>
  <si>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</si>
  <si>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</si>
  <si>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</si>
  <si>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</si>
  <si>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</si>
  <si>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</si>
  <si>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</si>
  <si>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</si>
  <si>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</si>
  <si>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</si>
  <si>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</si>
  <si>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</si>
  <si>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</si>
  <si>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</si>
  <si>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</si>
  <si>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</si>
  <si>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</si>
  <si>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</si>
  <si>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</si>
  <si>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</si>
  <si>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</si>
  <si>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</si>
  <si>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</si>
  <si>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</si>
  <si>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</si>
  <si>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</si>
  <si>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</si>
  <si>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</si>
  <si>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</si>
  <si>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</si>
  <si>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</si>
  <si>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</si>
  <si>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</si>
  <si>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</si>
  <si>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</si>
  <si>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</si>
  <si>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</si>
  <si>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</si>
  <si>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</si>
  <si>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</si>
  <si>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</si>
  <si>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</si>
  <si>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</si>
  <si>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</si>
  <si>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</si>
  <si>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</si>
  <si>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</si>
  <si>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</si>
  <si>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</si>
  <si>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</si>
  <si>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</si>
  <si>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</si>
  <si>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</si>
  <si>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</si>
  <si>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</si>
  <si>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</si>
  <si>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</si>
  <si>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</si>
  <si>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</si>
  <si>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</si>
  <si>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</si>
  <si>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</si>
  <si>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</si>
  <si>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</si>
  <si>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</si>
  <si>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</si>
  <si>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</si>
  <si>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</si>
  <si>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</si>
  <si>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</si>
  <si>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</si>
  <si>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</si>
  <si>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</si>
  <si>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</si>
  <si>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</si>
  <si>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</si>
  <si>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</si>
  <si>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</si>
  <si>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</si>
  <si>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</si>
  <si>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</si>
  <si>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</si>
  <si>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</si>
  <si>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</si>
  <si>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</si>
  <si>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</si>
  <si>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</si>
  <si>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</si>
  <si>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</si>
  <si>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</si>
  <si>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</si>
  <si>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</si>
  <si>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</si>
  <si>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</si>
  <si>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</si>
  <si>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</si>
  <si>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</si>
  <si>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</si>
  <si>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</si>
  <si>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</si>
  <si>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</si>
  <si>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</si>
  <si>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</si>
  <si>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</si>
  <si>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</si>
  <si>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</si>
  <si>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</si>
  <si>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</si>
  <si>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</si>
  <si>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</si>
  <si>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</si>
  <si>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</si>
  <si>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</si>
  <si>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</si>
  <si>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</si>
  <si>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</si>
  <si>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</si>
  <si>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</si>
  <si>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</si>
  <si>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</si>
  <si>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</si>
  <si>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</si>
  <si>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</si>
  <si>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</si>
  <si>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</si>
  <si>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</si>
  <si>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</si>
  <si>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</si>
  <si>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</si>
  <si>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</si>
  <si>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</si>
  <si>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</si>
  <si>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</si>
  <si>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</si>
  <si>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</si>
  <si>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</si>
  <si>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</si>
  <si>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</si>
  <si>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</si>
  <si>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</si>
  <si>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</si>
  <si>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</si>
  <si>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</si>
  <si>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</si>
  <si>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</si>
  <si>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</si>
  <si>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</si>
  <si>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</si>
  <si>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</si>
  <si>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</si>
  <si>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</si>
  <si>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</si>
  <si>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</si>
  <si>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</si>
  <si>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</si>
  <si>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</si>
  <si>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</si>
  <si>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</si>
  <si>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</si>
  <si>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</si>
  <si>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</si>
  <si>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</si>
  <si>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</si>
  <si>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</si>
  <si>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</si>
  <si>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</si>
  <si>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</si>
  <si>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</si>
  <si>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</si>
  <si>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</si>
  <si>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</si>
  <si>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</si>
  <si>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</si>
  <si>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</si>
  <si>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</si>
  <si>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</si>
  <si>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</si>
  <si>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</si>
  <si>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</si>
  <si>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</si>
  <si>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</si>
  <si>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</si>
  <si>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</si>
  <si>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</si>
  <si>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</si>
  <si>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</si>
  <si>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</si>
  <si>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</si>
  <si>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</si>
  <si>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</si>
  <si>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</si>
  <si>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</si>
  <si>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</si>
  <si>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</si>
  <si>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</si>
  <si>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</si>
  <si>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</si>
  <si>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</si>
  <si>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</si>
  <si>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</si>
  <si>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</si>
  <si>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</si>
  <si>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</si>
  <si>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</si>
  <si>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</si>
  <si>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</si>
  <si>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</si>
  <si>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</si>
  <si>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</si>
  <si>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</si>
  <si>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</si>
  <si>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</si>
  <si>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</si>
  <si>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</si>
  <si>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</si>
  <si>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</si>
  <si>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</si>
  <si>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</si>
  <si>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</si>
  <si>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</si>
  <si>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</si>
  <si>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</si>
  <si>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</si>
  <si>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</si>
  <si>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</si>
  <si>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</si>
  <si>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</si>
  <si>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</si>
  <si>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</si>
  <si>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</si>
  <si>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</si>
  <si>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</si>
  <si>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</si>
  <si>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</si>
  <si>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</si>
  <si>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</si>
  <si>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</si>
  <si>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</si>
  <si>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</si>
  <si>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</si>
  <si>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</si>
  <si>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</si>
  <si>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</si>
  <si>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</si>
  <si>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</si>
  <si>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</si>
  <si>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</si>
  <si>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</si>
  <si>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</si>
  <si>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</si>
  <si>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</si>
  <si>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</si>
  <si>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</si>
  <si>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</si>
  <si>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</si>
  <si>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</si>
  <si>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</si>
  <si>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</si>
  <si>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</si>
  <si>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</si>
  <si>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</si>
  <si>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</si>
  <si>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</si>
  <si>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</si>
  <si>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</si>
  <si>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</si>
  <si>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</si>
  <si>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</si>
  <si>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</si>
  <si>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</si>
  <si>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</si>
  <si>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</si>
  <si>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</si>
  <si>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</si>
  <si>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</si>
  <si>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</si>
  <si>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</si>
  <si>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</si>
  <si>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</si>
  <si>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</si>
  <si>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</si>
  <si>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</si>
  <si>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</si>
  <si>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</si>
  <si>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</si>
  <si>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</si>
  <si>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</si>
  <si>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</si>
  <si>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</si>
  <si>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</si>
  <si>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</si>
  <si>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</si>
  <si>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</si>
  <si>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</si>
  <si>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</si>
  <si>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</si>
  <si>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</si>
  <si>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</si>
  <si>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</si>
  <si>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</si>
  <si>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</si>
  <si>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</si>
  <si>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</si>
  <si>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</si>
  <si>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</si>
  <si>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</si>
  <si>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</si>
  <si>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</si>
  <si>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</si>
  <si>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</si>
  <si>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</si>
  <si>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</si>
  <si>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</si>
  <si>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</si>
  <si>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</si>
  <si>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</si>
  <si>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</si>
  <si>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</si>
  <si>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</si>
  <si>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</si>
  <si>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</si>
  <si>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</si>
  <si>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</si>
  <si>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</si>
  <si>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</si>
  <si>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</si>
  <si>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</si>
  <si>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</si>
  <si>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</si>
  <si>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</si>
  <si>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</si>
  <si>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</si>
  <si>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</si>
  <si>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</si>
  <si>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</si>
  <si>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</si>
  <si>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</si>
  <si>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</si>
  <si>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</si>
  <si>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</si>
  <si>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</si>
  <si>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</si>
  <si>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</si>
  <si>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</si>
  <si>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</si>
  <si>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</si>
  <si>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</si>
  <si>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</si>
  <si>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</si>
  <si>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</si>
  <si>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</si>
  <si>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</si>
  <si>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</si>
  <si>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</si>
  <si>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</si>
  <si>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</si>
  <si>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</si>
  <si>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</si>
  <si>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</si>
  <si>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</si>
  <si>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</si>
  <si>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</si>
  <si>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</si>
  <si>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</si>
  <si>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</si>
  <si>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</si>
  <si>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</si>
  <si>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</si>
  <si>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</si>
  <si>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</si>
  <si>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</si>
  <si>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</si>
  <si>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</si>
  <si>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</si>
  <si>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</si>
  <si>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</si>
  <si>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</si>
  <si>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</si>
  <si>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</si>
  <si>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</si>
  <si>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</si>
  <si>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</si>
  <si>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</si>
  <si>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</si>
  <si>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</si>
  <si>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</si>
  <si>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</si>
  <si>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</si>
  <si>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</si>
  <si>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</si>
  <si>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</si>
  <si>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</si>
  <si>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</si>
  <si>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</si>
  <si>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</si>
  <si>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</si>
  <si>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</si>
  <si>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</si>
  <si>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</si>
  <si>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</si>
  <si>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</si>
  <si>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</si>
  <si>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</si>
  <si>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</si>
  <si>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</si>
  <si>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</si>
  <si>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</si>
  <si>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</si>
  <si>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</si>
  <si>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</si>
  <si>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</si>
  <si>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</si>
  <si>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</si>
  <si>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</si>
  <si>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</si>
  <si>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</si>
  <si>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</si>
  <si>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</si>
  <si>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</si>
  <si>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</si>
  <si>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</si>
  <si>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</si>
  <si>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</si>
  <si>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</si>
  <si>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</si>
  <si>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</si>
  <si>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</si>
  <si>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</si>
  <si>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</si>
  <si>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</si>
  <si>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</si>
  <si>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</si>
  <si>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</si>
  <si>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</si>
  <si>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</si>
  <si>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</si>
  <si>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</si>
  <si>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</si>
  <si>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</si>
  <si>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</si>
  <si>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</si>
  <si>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</si>
  <si>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</si>
  <si>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</si>
  <si>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</si>
  <si>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</si>
  <si>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</si>
  <si>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</si>
  <si>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</si>
  <si>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</si>
  <si>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</si>
  <si>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</si>
  <si>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</si>
  <si>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</si>
  <si>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</si>
  <si>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</si>
  <si>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</si>
  <si>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</si>
  <si>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</si>
  <si>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</si>
  <si>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</si>
  <si>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</si>
  <si>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</si>
  <si>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</si>
  <si>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</si>
  <si>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</si>
  <si>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</si>
  <si>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</si>
  <si>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</si>
  <si>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</si>
  <si>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</si>
  <si>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</si>
  <si>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</si>
  <si>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</si>
  <si>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</si>
  <si>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</si>
  <si>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</si>
  <si>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</si>
  <si>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</si>
  <si>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</si>
  <si>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</si>
  <si>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</si>
  <si>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</si>
  <si>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</si>
  <si>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</si>
  <si>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</si>
  <si>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</si>
  <si>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</si>
  <si>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</si>
  <si>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</si>
  <si>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</si>
  <si>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</si>
  <si>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</si>
  <si>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</si>
  <si>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</si>
  <si>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</si>
  <si>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</si>
  <si>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</si>
  <si>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</si>
  <si>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</si>
  <si>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</si>
  <si>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</si>
  <si>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</si>
  <si>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</si>
  <si>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</si>
  <si>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</si>
  <si>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</si>
  <si>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</si>
  <si>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</si>
  <si>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</si>
  <si>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</si>
  <si>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</si>
  <si>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</si>
  <si>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</si>
  <si>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</si>
  <si>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</si>
  <si>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</si>
  <si>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</si>
  <si>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</si>
  <si>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</si>
  <si>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</si>
  <si>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</si>
  <si>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</si>
  <si>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</si>
  <si>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</si>
  <si>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</si>
  <si>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</si>
  <si>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</si>
  <si>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</si>
  <si>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</si>
  <si>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</si>
  <si>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</si>
  <si>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</si>
  <si>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</si>
  <si>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</si>
  <si>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</si>
  <si>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</si>
  <si>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</si>
  <si>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</si>
  <si>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</si>
  <si>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</si>
  <si>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</si>
  <si>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</si>
  <si>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</si>
  <si>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</si>
  <si>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</si>
  <si>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</si>
  <si>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</si>
  <si>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</si>
  <si>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</si>
  <si>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</si>
  <si>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</si>
  <si>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</si>
  <si>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</si>
  <si>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</si>
  <si>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</si>
  <si>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</si>
  <si>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</si>
  <si>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</si>
  <si>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</si>
  <si>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</si>
  <si>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</si>
  <si>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</si>
  <si>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</si>
  <si>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</si>
  <si>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</si>
  <si>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</si>
  <si>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</si>
  <si>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</si>
  <si>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</si>
  <si>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</si>
  <si>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</si>
  <si>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</si>
  <si>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</si>
  <si>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</si>
  <si>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</si>
  <si>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</si>
  <si>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</si>
  <si>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</si>
  <si>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</si>
  <si>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</si>
  <si>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</si>
  <si>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</si>
  <si>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</si>
  <si>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</si>
  <si>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</si>
  <si>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</si>
  <si>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</si>
  <si>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</si>
  <si>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</si>
  <si>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</si>
  <si>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</si>
  <si>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</si>
  <si>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</si>
  <si>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</si>
  <si>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</si>
  <si>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</si>
  <si>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</si>
  <si>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</si>
  <si>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</si>
  <si>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</si>
  <si>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</si>
  <si>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</si>
  <si>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</si>
  <si>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</si>
  <si>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</si>
  <si>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</si>
  <si>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</si>
  <si>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</si>
  <si>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</si>
  <si>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</si>
  <si>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</si>
  <si>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</si>
  <si>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</si>
  <si>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</si>
  <si>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</si>
  <si>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</si>
  <si>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</si>
  <si>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</si>
  <si>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</si>
  <si>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</si>
  <si>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</si>
  <si>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</si>
  <si>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</si>
  <si>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</si>
  <si>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</si>
  <si>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</si>
  <si>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</si>
  <si>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</si>
  <si>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</si>
  <si>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</si>
  <si>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</si>
  <si>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</si>
  <si>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</si>
  <si>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</si>
  <si>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</si>
  <si>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</si>
  <si>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</si>
  <si>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</si>
  <si>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</si>
  <si>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</si>
  <si>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</si>
  <si>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</si>
  <si>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</si>
  <si>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</si>
  <si>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</si>
  <si>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</si>
  <si>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</si>
  <si>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</si>
  <si>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</si>
  <si>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</si>
  <si>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</si>
  <si>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</si>
  <si>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</si>
  <si>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</si>
  <si>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</si>
  <si>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</si>
  <si>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</si>
  <si>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</si>
  <si>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</si>
  <si>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</si>
  <si>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</si>
  <si>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</si>
  <si>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</si>
  <si>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</si>
  <si>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</si>
  <si>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</si>
  <si>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</si>
  <si>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</si>
  <si>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</si>
  <si>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</si>
  <si>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</si>
  <si>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</si>
  <si>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</si>
  <si>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</si>
  <si>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</si>
  <si>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</si>
  <si>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</si>
  <si>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</si>
  <si>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</si>
  <si>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</si>
  <si>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</si>
  <si>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</si>
  <si>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</si>
  <si>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</si>
  <si>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</si>
  <si>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</si>
  <si>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</si>
  <si>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</si>
  <si>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</si>
  <si>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</si>
  <si>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</si>
  <si>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</si>
  <si>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</si>
  <si>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</si>
  <si>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</si>
  <si>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</si>
  <si>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</si>
  <si>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</si>
  <si>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</si>
  <si>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</si>
  <si>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</si>
  <si>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</si>
  <si>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</si>
  <si>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</si>
  <si>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</si>
  <si>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</si>
  <si>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</si>
  <si>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</si>
  <si>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</si>
  <si>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</si>
  <si>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</si>
  <si>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</si>
  <si>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</si>
  <si>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</si>
  <si>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</si>
  <si>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</si>
  <si>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</si>
  <si>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</si>
  <si>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</si>
  <si>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</si>
  <si>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</si>
  <si>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</si>
  <si>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</si>
  <si>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</si>
  <si>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</si>
  <si>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</si>
  <si>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</si>
  <si>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</si>
  <si>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</si>
  <si>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</si>
  <si>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</si>
  <si>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</si>
  <si>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</si>
  <si>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</si>
  <si>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</si>
  <si>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</si>
  <si>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</si>
  <si>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</si>
  <si>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</si>
  <si>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</si>
  <si>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</si>
  <si>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</si>
  <si>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</si>
  <si>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</si>
  <si>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</si>
  <si>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</si>
  <si>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</si>
  <si>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</si>
  <si>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</si>
  <si>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</si>
  <si>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</si>
  <si>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</si>
  <si>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</si>
  <si>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</si>
  <si>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</si>
  <si>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</si>
  <si>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</si>
  <si>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</si>
  <si>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</si>
  <si>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</si>
  <si>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</si>
  <si>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</si>
  <si>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</si>
  <si>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</si>
  <si>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</si>
  <si>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</si>
  <si>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</si>
  <si>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</si>
  <si>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</si>
  <si>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</si>
  <si>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</si>
  <si>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</si>
  <si>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</si>
  <si>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</si>
  <si>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</si>
  <si>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</si>
  <si>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</si>
  <si>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</si>
  <si>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</si>
  <si>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</si>
  <si>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</si>
  <si>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</si>
  <si>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</si>
  <si>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</si>
  <si>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</si>
  <si>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</si>
  <si>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</si>
  <si>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</si>
  <si>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</si>
  <si>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</si>
  <si>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</si>
  <si>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</si>
  <si>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</si>
  <si>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</si>
  <si>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</si>
  <si>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</si>
  <si>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</si>
  <si>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</si>
  <si>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</si>
  <si>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</si>
  <si>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</si>
  <si>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</si>
  <si>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</si>
  <si>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</si>
  <si>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</si>
  <si>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</si>
  <si>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</si>
  <si>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</si>
  <si>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</si>
  <si>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</si>
  <si>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</si>
  <si>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</si>
  <si>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</si>
  <si>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</si>
  <si>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</si>
  <si>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</si>
  <si>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</si>
  <si>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</si>
  <si>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</si>
  <si>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</si>
  <si>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</si>
  <si>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</si>
  <si>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</si>
  <si>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</si>
  <si>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</si>
  <si>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</si>
  <si>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</si>
  <si>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</si>
  <si>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</si>
  <si>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</si>
  <si>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</si>
  <si>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</si>
  <si>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</si>
  <si>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</si>
  <si>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</si>
  <si>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</si>
  <si>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</si>
  <si>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</si>
  <si>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</si>
  <si>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</si>
  <si>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</si>
  <si>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</si>
  <si>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</si>
  <si>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</si>
  <si>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</si>
  <si>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</si>
  <si>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</si>
  <si>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</si>
  <si>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</si>
  <si>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</si>
  <si>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</si>
  <si>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</si>
  <si>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</si>
  <si>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</si>
  <si>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</si>
  <si>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</si>
  <si>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</si>
  <si>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</si>
  <si>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</si>
  <si>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</si>
  <si>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</si>
  <si>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</si>
  <si>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</si>
  <si>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</si>
  <si>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</si>
  <si>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</si>
  <si>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</si>
  <si>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</si>
  <si>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</si>
  <si>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</si>
  <si>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</si>
  <si>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</si>
  <si>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</si>
  <si>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</si>
  <si>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</si>
  <si>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</si>
  <si>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</si>
  <si>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</si>
  <si>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</si>
  <si>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</si>
  <si>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</si>
  <si>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</si>
  <si>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</si>
  <si>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</si>
  <si>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</si>
  <si>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</si>
  <si>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</si>
  <si>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</si>
  <si>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</si>
  <si>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</si>
  <si>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</si>
  <si>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</si>
  <si>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</si>
  <si>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</si>
  <si>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</si>
  <si>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</si>
  <si>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</si>
  <si>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</si>
  <si>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</si>
  <si>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</si>
  <si>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</si>
  <si>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</si>
  <si>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</si>
  <si>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</si>
  <si>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</si>
  <si>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</si>
  <si>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</si>
  <si>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</si>
  <si>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</si>
  <si>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</si>
  <si>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</si>
  <si>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</si>
  <si>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</si>
  <si>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</si>
  <si>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</si>
  <si>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</si>
  <si>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</si>
  <si>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</si>
  <si>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</si>
  <si>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</si>
  <si>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</si>
  <si>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</si>
  <si>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</si>
  <si>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</si>
  <si>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</si>
  <si>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</si>
  <si>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</si>
  <si>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</si>
  <si>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</si>
  <si>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</si>
  <si>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</si>
  <si>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</si>
  <si>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</si>
  <si>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</si>
  <si>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</si>
  <si>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</si>
  <si>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</si>
  <si>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</si>
  <si>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</si>
  <si>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</si>
  <si>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</si>
  <si>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</si>
  <si>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</si>
  <si>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</si>
  <si>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</si>
  <si>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</si>
  <si>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</si>
  <si>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</si>
  <si>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</si>
  <si>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</si>
  <si>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</si>
  <si>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</si>
  <si>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</si>
  <si>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</si>
  <si>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</si>
  <si>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</si>
  <si>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</si>
  <si>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</si>
  <si>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</si>
  <si>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</si>
  <si>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</si>
  <si>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</si>
  <si>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</si>
  <si>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</si>
  <si>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</si>
  <si>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</si>
  <si>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</si>
  <si>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</si>
  <si>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</si>
  <si>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</si>
  <si>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</si>
  <si>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</si>
  <si>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</si>
  <si>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</si>
  <si>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</si>
  <si>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</si>
  <si>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</si>
  <si>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</si>
  <si>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</si>
  <si>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</si>
  <si>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</si>
  <si>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</si>
  <si>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</si>
  <si>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</si>
  <si>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</si>
  <si>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</si>
  <si>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</si>
  <si>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</si>
  <si>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</si>
  <si>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</si>
  <si>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</si>
  <si>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</si>
  <si>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</si>
  <si>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</si>
  <si>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</si>
  <si>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</si>
  <si>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</si>
  <si>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</si>
  <si>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</si>
  <si>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</si>
  <si>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</si>
  <si>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</si>
  <si>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</si>
  <si>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</si>
  <si>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</si>
  <si>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</si>
  <si>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</si>
  <si>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</si>
  <si>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</si>
  <si>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</si>
  <si>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</si>
  <si>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</si>
  <si>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</si>
  <si>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</si>
  <si>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</si>
  <si>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</si>
  <si>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</si>
  <si>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</si>
  <si>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</si>
  <si>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</si>
  <si>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</si>
  <si>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</si>
  <si>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</si>
  <si>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</si>
  <si>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</si>
  <si>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</si>
  <si>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</si>
  <si>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</si>
  <si>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</si>
  <si>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</si>
  <si>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</si>
  <si>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</si>
  <si>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</si>
  <si>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</si>
  <si>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</si>
  <si>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</si>
  <si>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</si>
  <si>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</si>
  <si>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</si>
  <si>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</si>
  <si>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</si>
  <si>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</si>
  <si>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</si>
  <si>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</si>
  <si>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</si>
  <si>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</si>
  <si>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</si>
  <si>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</si>
  <si>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</si>
  <si>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</si>
  <si>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</si>
  <si>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</si>
  <si>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</si>
  <si>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</si>
  <si>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</si>
  <si>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</si>
  <si>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</si>
  <si>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</si>
  <si>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</si>
  <si>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</si>
  <si>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</si>
  <si>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</si>
  <si>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</si>
  <si>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</si>
  <si>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</si>
  <si>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</si>
  <si>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</si>
  <si>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</si>
  <si>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</si>
  <si>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</si>
  <si>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</si>
  <si>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</si>
  <si>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</si>
  <si>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</si>
  <si>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</si>
  <si>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</si>
  <si>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</si>
  <si>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</si>
  <si>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</si>
  <si>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</si>
  <si>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</si>
  <si>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</si>
  <si>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</si>
  <si>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</si>
  <si>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</si>
  <si>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</si>
  <si>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</si>
  <si>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</si>
  <si>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</si>
  <si>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</si>
  <si>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</si>
  <si>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</si>
  <si>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</si>
  <si>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</si>
  <si>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</si>
  <si>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</si>
  <si>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</si>
  <si>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</si>
  <si>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</si>
  <si>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</si>
  <si>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</si>
  <si>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</si>
  <si>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</si>
  <si>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</si>
  <si>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</si>
  <si>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</si>
  <si>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</si>
  <si>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</si>
  <si>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</si>
  <si>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</si>
  <si>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</si>
  <si>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</si>
  <si>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</si>
  <si>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</si>
  <si>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</si>
  <si>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</si>
  <si>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</si>
  <si>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</si>
  <si>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</si>
  <si>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</si>
  <si>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</si>
  <si>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</si>
  <si>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</si>
  <si>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</si>
  <si>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</si>
  <si>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</si>
  <si>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</si>
  <si>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</si>
  <si>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</si>
  <si>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</si>
  <si>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</si>
  <si>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</si>
  <si>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</si>
  <si>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</si>
  <si>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</si>
  <si>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</si>
  <si>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</si>
  <si>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</si>
  <si>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</si>
  <si>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</si>
  <si>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</si>
  <si>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</si>
  <si>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</si>
  <si>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</si>
  <si>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</si>
  <si>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</si>
  <si>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</si>
  <si>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</si>
  <si>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</si>
  <si>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</si>
  <si>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</si>
  <si>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</si>
  <si>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</si>
  <si>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</si>
  <si>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</si>
  <si>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</si>
  <si>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</si>
  <si>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</si>
  <si>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</si>
  <si>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</si>
  <si>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</si>
  <si>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</si>
  <si>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</si>
  <si>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</si>
  <si>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</si>
  <si>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</si>
  <si>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</si>
  <si>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</si>
  <si>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</si>
  <si>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</si>
  <si>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</si>
  <si>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</si>
  <si>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</si>
  <si>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</si>
  <si>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</si>
  <si>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</si>
  <si>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</si>
  <si>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</si>
  <si>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</si>
  <si>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</si>
  <si>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</si>
  <si>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</si>
  <si>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</si>
  <si>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</si>
  <si>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</si>
  <si>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</si>
  <si>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</si>
  <si>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</si>
  <si>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</si>
  <si>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</si>
  <si>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</si>
  <si>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</si>
  <si>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</si>
  <si>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</si>
  <si>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</si>
  <si>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</si>
  <si>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</si>
  <si>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</si>
  <si>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</si>
  <si>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</si>
  <si>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</si>
  <si>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</si>
  <si>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</si>
  <si>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</si>
  <si>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</si>
  <si>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</si>
  <si>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</si>
  <si>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</si>
  <si>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</si>
  <si>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</si>
  <si>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</si>
  <si>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</si>
  <si>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</si>
  <si>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</si>
  <si>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</si>
  <si>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</si>
  <si>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</si>
  <si>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</si>
  <si>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</si>
  <si>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</si>
  <si>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</si>
  <si>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</si>
  <si>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</si>
  <si>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</si>
  <si>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</si>
  <si>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</si>
  <si>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</si>
  <si>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</si>
  <si>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</si>
  <si>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</si>
  <si>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</si>
  <si>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</si>
  <si>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</si>
  <si>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</si>
  <si>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</si>
  <si>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</si>
  <si>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</si>
  <si>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</si>
  <si>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</si>
  <si>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</si>
  <si>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</si>
  <si>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</si>
  <si>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</si>
  <si>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</si>
  <si>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</si>
  <si>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</si>
  <si>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</si>
  <si>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</si>
  <si>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</si>
  <si>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</si>
  <si>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</si>
  <si>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</si>
  <si>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</si>
  <si>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</si>
  <si>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</si>
  <si>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</si>
  <si>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</si>
  <si>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</si>
  <si>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</si>
  <si>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</si>
  <si>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</si>
  <si>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</si>
  <si>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</si>
  <si>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</si>
  <si>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</si>
  <si>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</si>
  <si>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</si>
  <si>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</si>
  <si>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</si>
  <si>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</si>
  <si>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</si>
  <si>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</si>
  <si>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</si>
  <si>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</si>
  <si>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</si>
  <si>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</si>
  <si>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</si>
  <si>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</si>
  <si>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</si>
  <si>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</si>
  <si>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</si>
  <si>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</si>
  <si>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</si>
  <si>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</si>
  <si>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</si>
  <si>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</si>
  <si>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</si>
  <si>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</si>
  <si>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</si>
  <si>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</si>
  <si>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</si>
  <si>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</si>
  <si>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</si>
  <si>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</si>
  <si>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</si>
  <si>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</si>
  <si>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</si>
  <si>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</si>
  <si>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</si>
  <si>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</si>
  <si>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</si>
  <si>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</si>
  <si>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</si>
  <si>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</si>
  <si>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</si>
  <si>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</si>
  <si>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</si>
  <si>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</si>
  <si>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</si>
  <si>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</si>
  <si>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</si>
  <si>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</si>
  <si>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</si>
  <si>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</si>
  <si>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</si>
  <si>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</si>
  <si>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</si>
  <si>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</si>
  <si>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</si>
  <si>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</si>
  <si>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</si>
  <si>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</si>
  <si>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</si>
  <si>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</si>
  <si>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</si>
  <si>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</si>
  <si>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</si>
  <si>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</si>
  <si>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</si>
  <si>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</si>
  <si>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</si>
  <si>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</si>
  <si>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</si>
  <si>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</si>
  <si>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</si>
  <si>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</si>
  <si>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</si>
  <si>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</si>
  <si>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</si>
  <si>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</si>
  <si>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</si>
  <si>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</si>
  <si>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</si>
  <si>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</si>
  <si>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</si>
  <si>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</si>
  <si>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</si>
  <si>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</si>
  <si>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</si>
  <si>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</si>
  <si>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</si>
  <si>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</si>
  <si>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</si>
  <si>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</si>
  <si>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</si>
  <si>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</si>
  <si>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</si>
  <si>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</si>
  <si>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</si>
  <si>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</si>
  <si>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</si>
  <si>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</si>
  <si>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</si>
  <si>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</si>
  <si>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</si>
  <si>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</si>
  <si>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</si>
  <si>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</si>
  <si>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</si>
  <si>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</si>
  <si>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</si>
  <si>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</si>
  <si>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</si>
  <si>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</si>
  <si>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</si>
  <si>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</si>
  <si>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</si>
  <si>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</si>
  <si>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</si>
  <si>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</si>
  <si>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</si>
  <si>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</si>
  <si>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</si>
  <si>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</si>
  <si>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</si>
  <si>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</si>
  <si>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</si>
  <si>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</si>
  <si>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</si>
  <si>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</si>
  <si>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</si>
  <si>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</si>
  <si>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</si>
  <si>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</si>
  <si>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</si>
  <si>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</si>
  <si>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</si>
  <si>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</si>
  <si>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</si>
  <si>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</si>
  <si>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</si>
  <si>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</si>
  <si>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</si>
  <si>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</si>
  <si>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</si>
  <si>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</si>
  <si>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</si>
  <si>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</si>
  <si>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</si>
  <si>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</si>
  <si>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</si>
  <si>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</si>
  <si>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</si>
  <si>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</si>
  <si>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</si>
  <si>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</si>
  <si>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</si>
  <si>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</si>
  <si>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</si>
  <si>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</si>
  <si>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</si>
  <si>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</si>
  <si>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</si>
  <si>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</si>
  <si>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</si>
  <si>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</si>
  <si>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</si>
  <si>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</si>
  <si>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</si>
  <si>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</si>
  <si>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</si>
  <si>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</si>
  <si>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</si>
  <si>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</si>
  <si>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</si>
  <si>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</si>
  <si>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</si>
  <si>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</si>
  <si>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</si>
  <si>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</si>
  <si>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</si>
  <si>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</si>
  <si>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</si>
  <si>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</si>
  <si>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</si>
  <si>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</si>
  <si>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</si>
  <si>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</si>
  <si>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</si>
  <si>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</si>
  <si>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</si>
  <si>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</si>
  <si>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</si>
  <si>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</si>
  <si>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</si>
  <si>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</si>
  <si>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</si>
  <si>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</si>
  <si>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</si>
  <si>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</si>
  <si>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</si>
  <si>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</si>
  <si>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</si>
  <si>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</si>
  <si>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</si>
  <si>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</si>
  <si>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</si>
  <si>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</si>
  <si>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</si>
  <si>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</si>
  <si>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</si>
  <si>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</si>
  <si>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</si>
  <si>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</si>
  <si>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</si>
  <si>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</si>
  <si>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</si>
  <si>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</si>
  <si>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</si>
  <si>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</si>
  <si>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</si>
  <si>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</si>
  <si>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</si>
  <si>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</si>
  <si>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</si>
  <si>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</si>
  <si>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</si>
  <si>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</si>
  <si>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</si>
  <si>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</si>
  <si>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</si>
  <si>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</si>
  <si>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</si>
  <si>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</si>
  <si>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</si>
  <si>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</si>
  <si>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</si>
  <si>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</si>
  <si>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</si>
  <si>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</si>
  <si>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</si>
  <si>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</si>
  <si>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</si>
  <si>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</si>
  <si>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</si>
  <si>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</si>
  <si>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</si>
  <si>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</si>
  <si>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</si>
  <si>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</si>
  <si>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</si>
  <si>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</si>
  <si>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</si>
  <si>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</si>
  <si>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</si>
  <si>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</si>
  <si>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</si>
  <si>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</si>
  <si>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</si>
  <si>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</si>
  <si>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</si>
  <si>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</si>
  <si>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</si>
  <si>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</si>
  <si>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</si>
  <si>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</si>
  <si>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</si>
  <si>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</si>
  <si>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</si>
  <si>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</si>
  <si>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</si>
  <si>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</si>
  <si>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</si>
  <si>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</si>
  <si>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</si>
  <si>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</si>
  <si>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</si>
  <si>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</si>
  <si>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</si>
  <si>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</si>
  <si>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</si>
  <si>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</si>
  <si>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</si>
  <si>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</si>
  <si>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</si>
  <si>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</si>
  <si>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</si>
  <si>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</si>
  <si>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</si>
  <si>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</si>
  <si>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</si>
  <si>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</si>
  <si>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</si>
  <si>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</si>
  <si>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</si>
  <si>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</si>
  <si>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</si>
  <si>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</si>
  <si>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</si>
  <si>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</si>
  <si>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</si>
  <si>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</si>
  <si>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</si>
  <si>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</si>
  <si>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</si>
  <si>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</si>
  <si>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</si>
  <si>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</si>
  <si>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</si>
  <si>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</si>
  <si>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</si>
  <si>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</si>
  <si>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</si>
  <si>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</si>
  <si>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</si>
  <si>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</si>
  <si>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</si>
  <si>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</si>
  <si>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</si>
  <si>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</si>
  <si>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</si>
  <si>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</si>
  <si>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</si>
  <si>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</si>
  <si>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</si>
  <si>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</si>
  <si>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</si>
  <si>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</si>
  <si>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</si>
  <si>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</si>
  <si>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</si>
  <si>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</si>
  <si>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</si>
  <si>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</si>
  <si>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</si>
  <si>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</si>
  <si>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</si>
  <si>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</si>
  <si>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</si>
  <si>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</si>
  <si>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</si>
  <si>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</si>
  <si>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</si>
  <si>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</si>
  <si>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</si>
  <si>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</si>
  <si>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</si>
  <si>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</si>
  <si>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</si>
  <si>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</si>
  <si>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</si>
  <si>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</si>
  <si>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</si>
  <si>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</si>
  <si>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</si>
  <si>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</si>
  <si>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</si>
  <si>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</si>
  <si>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</si>
  <si>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</si>
  <si>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</si>
  <si>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</si>
  <si>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</si>
  <si>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</si>
  <si>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</si>
  <si>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</si>
  <si>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</si>
  <si>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</si>
  <si>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</si>
  <si>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</si>
  <si>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</si>
  <si>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</si>
  <si>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</si>
  <si>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</si>
  <si>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</si>
  <si>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</si>
  <si>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</si>
  <si>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</si>
  <si>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</si>
  <si>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</si>
  <si>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</si>
  <si>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</si>
  <si>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</si>
  <si>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</si>
  <si>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</si>
  <si>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</si>
  <si>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</si>
  <si>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</si>
  <si>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</si>
  <si>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</si>
  <si>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</si>
  <si>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</si>
  <si>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</si>
  <si>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</si>
  <si>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</si>
  <si>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</si>
  <si>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</si>
  <si>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</si>
  <si>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</si>
  <si>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</si>
  <si>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</si>
  <si>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</si>
  <si>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</si>
  <si>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</si>
  <si>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</si>
  <si>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</si>
  <si>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</si>
  <si>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</si>
  <si>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</si>
  <si>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</si>
  <si>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</si>
  <si>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</si>
  <si>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</si>
  <si>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</si>
  <si>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</si>
  <si>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</si>
  <si>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</si>
  <si>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</si>
  <si>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</si>
  <si>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</si>
  <si>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</si>
  <si>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</si>
  <si>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</si>
  <si>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</si>
  <si>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</si>
  <si>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</si>
  <si>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</si>
  <si>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</si>
  <si>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</si>
  <si>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</si>
  <si>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</si>
  <si>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</si>
  <si>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</si>
  <si>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</si>
  <si>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</si>
  <si>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</si>
  <si>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</si>
  <si>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</si>
  <si>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</si>
  <si>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</si>
  <si>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</si>
  <si>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</si>
  <si>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</si>
  <si>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</si>
  <si>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</si>
  <si>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</si>
  <si>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</si>
  <si>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</si>
  <si>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</si>
  <si>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</si>
  <si>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</si>
  <si>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</si>
  <si>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</si>
  <si>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</si>
  <si>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</si>
  <si>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</si>
  <si>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</si>
  <si>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</si>
  <si>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</si>
  <si>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</si>
  <si>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</si>
  <si>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</si>
  <si>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</si>
  <si>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</si>
  <si>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</si>
  <si>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</si>
  <si>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</si>
  <si>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</si>
  <si>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</si>
  <si>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</si>
  <si>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</si>
  <si>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</si>
  <si>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</si>
  <si>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</si>
  <si>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</si>
  <si>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</si>
  <si>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</si>
  <si>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</si>
  <si>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</si>
  <si>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</si>
  <si>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</si>
  <si>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</si>
  <si>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</si>
  <si>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</si>
  <si>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</si>
  <si>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</si>
  <si>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</si>
  <si>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</si>
  <si>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</si>
  <si>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</si>
  <si>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</si>
  <si>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</si>
  <si>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</si>
  <si>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</si>
  <si>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</si>
  <si>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</si>
  <si>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</si>
  <si>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</si>
  <si>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</si>
  <si>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</si>
  <si>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</si>
  <si>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</si>
  <si>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</si>
  <si>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</si>
  <si>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</si>
  <si>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</si>
  <si>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</si>
  <si>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</si>
  <si>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</si>
  <si>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</si>
  <si>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</si>
  <si>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</si>
  <si>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</si>
  <si>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</si>
  <si>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</si>
  <si>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</si>
  <si>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</si>
  <si>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</si>
  <si>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</si>
  <si>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</si>
  <si>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</si>
  <si>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</si>
  <si>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</si>
  <si>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</si>
  <si>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</si>
  <si>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</si>
  <si>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</si>
  <si>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</si>
  <si>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</si>
  <si>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</si>
  <si>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</si>
  <si>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</si>
  <si>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</si>
  <si>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</si>
  <si>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</si>
  <si>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</si>
  <si>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</si>
  <si>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</si>
  <si>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</si>
  <si>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</si>
  <si>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</si>
  <si>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</si>
  <si>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</si>
  <si>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</si>
  <si>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</si>
  <si>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</si>
  <si>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</si>
  <si>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</si>
  <si>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</si>
  <si>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</si>
  <si>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</si>
  <si>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</si>
  <si>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</si>
  <si>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</si>
  <si>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</si>
  <si>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</si>
  <si>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</si>
  <si>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</si>
  <si>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</si>
  <si>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</si>
  <si>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</si>
  <si>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</si>
  <si>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</si>
  <si>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</si>
  <si>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</si>
  <si>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</si>
  <si>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</si>
  <si>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</si>
  <si>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</si>
  <si>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</si>
  <si>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</si>
  <si>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</si>
  <si>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</si>
  <si>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</si>
  <si>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</si>
  <si>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</si>
  <si>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</si>
  <si>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</si>
  <si>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</si>
  <si>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</si>
  <si>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</si>
  <si>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</si>
  <si>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</si>
  <si>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</si>
  <si>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</si>
  <si>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</si>
  <si>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</si>
  <si>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</si>
  <si>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</si>
  <si>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</si>
  <si>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</si>
  <si>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</si>
  <si>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</si>
  <si>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</si>
  <si>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</si>
  <si>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</si>
  <si>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</si>
  <si>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</si>
  <si>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</si>
  <si>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</si>
  <si>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</si>
  <si>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</si>
  <si>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</si>
  <si>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</si>
  <si>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</si>
  <si>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</si>
  <si>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</si>
  <si>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</si>
  <si>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</si>
  <si>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</si>
  <si>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</si>
  <si>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</si>
  <si>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</si>
  <si>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</si>
  <si>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</si>
  <si>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</si>
  <si>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</si>
  <si>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</si>
  <si>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</si>
  <si>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</si>
  <si>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</si>
  <si>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</si>
  <si>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</si>
  <si>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</si>
  <si>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</si>
  <si>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</si>
  <si>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</si>
  <si>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</si>
  <si>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</si>
  <si>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</si>
  <si>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</si>
  <si>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</si>
  <si>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</si>
  <si>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</si>
  <si>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</si>
  <si>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</si>
  <si>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</si>
  <si>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</si>
  <si>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</si>
  <si>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</si>
  <si>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</si>
  <si>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</si>
  <si>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</si>
  <si>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</si>
  <si>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</si>
  <si>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</si>
  <si>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</si>
  <si>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</si>
  <si>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</si>
  <si>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</si>
  <si>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</si>
  <si>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</si>
  <si>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</si>
  <si>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</si>
  <si>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</si>
  <si>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</si>
  <si>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</si>
  <si>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</si>
  <si>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</si>
  <si>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</si>
  <si>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</si>
  <si>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</si>
  <si>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</si>
  <si>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</si>
  <si>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</si>
  <si>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</si>
  <si>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</si>
  <si>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</si>
  <si>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</si>
  <si>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</si>
  <si>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</si>
  <si>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</si>
  <si>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</si>
  <si>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</si>
  <si>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</si>
  <si>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</si>
  <si>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</si>
  <si>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</si>
  <si>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</si>
  <si>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</si>
  <si>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</si>
  <si>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</si>
  <si>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</si>
  <si>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</si>
  <si>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</si>
  <si>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</si>
  <si>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</si>
  <si>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</si>
  <si>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</si>
  <si>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</si>
  <si>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</si>
  <si>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</si>
  <si>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</si>
  <si>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</si>
  <si>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</si>
  <si>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</si>
  <si>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</si>
  <si>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</si>
  <si>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</si>
  <si>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</si>
  <si>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</si>
  <si>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</si>
  <si>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</si>
  <si>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</si>
  <si>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</si>
  <si>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</si>
  <si>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</si>
  <si>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</si>
  <si>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</si>
  <si>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</si>
  <si>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</si>
  <si>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</si>
  <si>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</si>
  <si>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</si>
  <si>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</si>
  <si>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</si>
  <si>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</si>
  <si>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</si>
  <si>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</si>
  <si>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</si>
  <si>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</si>
  <si>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</si>
  <si>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</si>
  <si>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</si>
  <si>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</si>
  <si>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</si>
  <si>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</si>
  <si>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</si>
  <si>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</si>
  <si>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</si>
  <si>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</si>
  <si>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</si>
  <si>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</si>
  <si>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</si>
  <si>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</si>
  <si>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</si>
  <si>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</si>
  <si>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</si>
  <si>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</si>
  <si>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</si>
  <si>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</si>
  <si>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</si>
  <si>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</si>
  <si>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</si>
  <si>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</si>
  <si>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</si>
  <si>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</si>
  <si>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</si>
  <si>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</si>
  <si>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</si>
  <si>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</si>
  <si>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</si>
  <si>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</si>
  <si>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</si>
  <si>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</si>
  <si>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</si>
  <si>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</si>
  <si>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</si>
  <si>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</si>
  <si>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</si>
  <si>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</si>
  <si>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</si>
  <si>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</si>
  <si>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</si>
  <si>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</si>
  <si>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</si>
  <si>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</si>
  <si>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</si>
  <si>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</si>
  <si>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</si>
  <si>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</si>
  <si>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</si>
  <si>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</si>
  <si>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</si>
  <si>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</si>
  <si>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</si>
  <si>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</si>
  <si>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</si>
  <si>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</si>
  <si>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</si>
  <si>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</si>
  <si>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</si>
  <si>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</si>
  <si>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</si>
  <si>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</si>
  <si>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</si>
  <si>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</si>
  <si>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</si>
  <si>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</si>
  <si>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</si>
  <si>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</si>
  <si>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</si>
  <si>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</si>
  <si>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</si>
  <si>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</si>
  <si>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</si>
  <si>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</si>
  <si>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</si>
  <si>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</si>
  <si>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</si>
  <si>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</si>
  <si>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</si>
  <si>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</si>
  <si>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</si>
  <si>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</si>
  <si>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</si>
  <si>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</si>
  <si>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</si>
  <si>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</si>
  <si>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</si>
  <si>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</si>
  <si>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</si>
  <si>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</si>
  <si>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</si>
  <si>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</si>
  <si>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</si>
  <si>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</si>
  <si>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</si>
  <si>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</si>
  <si>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</si>
  <si>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</si>
  <si>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</si>
  <si>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</si>
  <si>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</si>
  <si>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</si>
  <si>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</si>
  <si>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</si>
  <si>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</si>
  <si>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</si>
  <si>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</si>
  <si>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</si>
  <si>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</si>
  <si>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</si>
  <si>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</si>
  <si>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</si>
  <si>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</si>
  <si>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</si>
  <si>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</si>
  <si>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</si>
  <si>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</si>
  <si>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</si>
  <si>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</si>
  <si>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</si>
  <si>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</si>
  <si>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</si>
  <si>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</si>
  <si>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</si>
  <si>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</si>
  <si>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</si>
  <si>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</si>
  <si>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</si>
  <si>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</si>
  <si>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</si>
  <si>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</si>
  <si>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</si>
  <si>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</si>
  <si>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</si>
  <si>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</si>
  <si>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</si>
  <si>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</si>
  <si>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</si>
  <si>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</si>
  <si>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</si>
  <si>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</si>
  <si>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</si>
  <si>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</si>
  <si>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</si>
  <si>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</si>
  <si>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</si>
  <si>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</si>
  <si>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</si>
  <si>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</si>
  <si>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</si>
  <si>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</si>
  <si>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</si>
  <si>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</si>
  <si>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</si>
  <si>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</si>
  <si>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</si>
  <si>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</si>
  <si>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</si>
  <si>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</si>
  <si>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</si>
  <si>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</si>
  <si>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</si>
  <si>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</si>
  <si>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</si>
  <si>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</si>
  <si>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</si>
  <si>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</si>
  <si>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</si>
  <si>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</si>
  <si>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</si>
  <si>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</si>
  <si>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</si>
  <si>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</si>
  <si>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</si>
  <si>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</si>
  <si>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</si>
  <si>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</si>
  <si>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</si>
  <si>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</si>
  <si>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</si>
  <si>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</si>
  <si>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</si>
  <si>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</si>
  <si>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</si>
  <si>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</si>
  <si>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</si>
  <si>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</si>
  <si>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</si>
  <si>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</si>
  <si>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</si>
  <si>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</si>
  <si>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</si>
  <si>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</si>
  <si>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</si>
  <si>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</si>
  <si>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</si>
  <si>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</si>
  <si>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</si>
  <si>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</si>
  <si>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</si>
  <si>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</si>
  <si>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</si>
  <si>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</si>
  <si>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</si>
  <si>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</si>
  <si>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</si>
  <si>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</si>
  <si>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</si>
  <si>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</si>
  <si>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</si>
  <si>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</si>
  <si>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</si>
  <si>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</si>
  <si>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</si>
  <si>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</si>
  <si>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</si>
  <si>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</si>
  <si>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</si>
  <si>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</si>
  <si>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</si>
  <si>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</si>
  <si>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</si>
  <si>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</si>
  <si>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</si>
  <si>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</si>
  <si>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</si>
  <si>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</si>
  <si>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</si>
  <si>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</si>
  <si>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</si>
  <si>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</si>
  <si>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</si>
  <si>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</si>
  <si>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</si>
  <si>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</si>
  <si>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</si>
  <si>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</si>
  <si>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</si>
  <si>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</si>
  <si>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</si>
  <si>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</si>
  <si>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</si>
  <si>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</si>
  <si>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</si>
  <si>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</si>
  <si>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</si>
  <si>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</si>
  <si>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</si>
  <si>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</si>
  <si>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</si>
  <si>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</si>
  <si>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</si>
  <si>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</si>
  <si>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</si>
  <si>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</si>
  <si>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</si>
  <si>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</si>
  <si>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</si>
  <si>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</si>
  <si>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</si>
  <si>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</si>
  <si>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</si>
  <si>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</si>
  <si>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</si>
  <si>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</si>
  <si>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</si>
  <si>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</si>
  <si>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</si>
  <si>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</si>
  <si>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</si>
  <si>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</si>
  <si>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</si>
  <si>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</si>
  <si>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</si>
  <si>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</si>
  <si>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</si>
  <si>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</si>
  <si>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</si>
  <si>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</si>
  <si>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</si>
  <si>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</si>
  <si>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</si>
  <si>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</si>
  <si>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</si>
  <si>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</si>
  <si>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</si>
  <si>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</si>
  <si>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</si>
  <si>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</si>
  <si>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</si>
  <si>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</si>
  <si>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</si>
  <si>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</si>
  <si>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</si>
  <si>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</si>
  <si>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</si>
  <si>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</si>
  <si>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</si>
  <si>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</si>
  <si>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</si>
  <si>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</si>
  <si>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</si>
  <si>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</si>
  <si>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</si>
  <si>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</si>
  <si>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</si>
  <si>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</si>
  <si>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</si>
  <si>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</si>
  <si>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</si>
  <si>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</si>
  <si>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</si>
  <si>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</si>
  <si>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</si>
  <si>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</si>
  <si>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</si>
  <si>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</si>
  <si>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</si>
  <si>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</si>
  <si>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</si>
  <si>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</si>
  <si>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</si>
  <si>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</si>
  <si>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</si>
  <si>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</si>
  <si>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</si>
  <si>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</si>
  <si>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</si>
  <si>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</si>
  <si>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</si>
  <si>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</si>
  <si>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</si>
  <si>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</si>
  <si>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</si>
  <si>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</si>
  <si>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</si>
  <si>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</si>
  <si>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</si>
  <si>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</si>
  <si>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</si>
  <si>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</si>
  <si>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</si>
  <si>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</si>
  <si>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</si>
  <si>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</si>
  <si>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</si>
  <si>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</si>
  <si>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</si>
  <si>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</si>
  <si>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</si>
  <si>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</si>
  <si>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</si>
  <si>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</si>
  <si>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</si>
  <si>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</si>
  <si>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</si>
  <si>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</si>
  <si>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</si>
  <si>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</si>
  <si>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</si>
  <si>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</si>
  <si>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</si>
  <si>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</si>
  <si>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</si>
  <si>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</si>
  <si>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</si>
  <si>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</si>
  <si>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</si>
  <si>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</si>
  <si>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</si>
  <si>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</si>
  <si>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</si>
  <si>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</si>
  <si>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</si>
  <si>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</si>
  <si>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</si>
  <si>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</si>
  <si>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</si>
  <si>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</si>
  <si>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</si>
  <si>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</si>
  <si>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</si>
  <si>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</si>
  <si>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</si>
  <si>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</si>
  <si>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</si>
  <si>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</si>
  <si>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</si>
  <si>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</si>
  <si>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</si>
  <si>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</si>
  <si>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</si>
  <si>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</si>
  <si>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</si>
  <si>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</si>
  <si>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</si>
  <si>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</si>
  <si>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</si>
  <si>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</si>
  <si>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</si>
  <si>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</si>
  <si>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</si>
  <si>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</si>
  <si>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</si>
  <si>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</si>
  <si>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</si>
  <si>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</si>
  <si>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</si>
  <si>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</si>
  <si>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</si>
  <si>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</si>
  <si>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</si>
  <si>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</si>
  <si>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</si>
  <si>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</si>
  <si>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</si>
  <si>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</si>
  <si>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</si>
  <si>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</si>
  <si>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</si>
  <si>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</si>
  <si>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</si>
  <si>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</si>
  <si>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</si>
  <si>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</si>
  <si>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</si>
  <si>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</si>
  <si>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</si>
  <si>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</si>
  <si>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</si>
  <si>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</si>
  <si>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</si>
  <si>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</si>
  <si>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</si>
  <si>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</si>
  <si>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</si>
  <si>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</si>
  <si>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</si>
  <si>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</si>
  <si>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</si>
  <si>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</si>
  <si>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</si>
  <si>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</si>
  <si>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</si>
  <si>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</si>
  <si>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</si>
  <si>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</si>
  <si>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</si>
  <si>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</si>
  <si>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</si>
  <si>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</si>
  <si>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</si>
  <si>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</si>
  <si>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</si>
  <si>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</si>
  <si>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</si>
  <si>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</si>
  <si>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</si>
  <si>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</si>
  <si>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</si>
  <si>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</si>
  <si>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</si>
  <si>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</si>
  <si>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</si>
  <si>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</si>
  <si>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</si>
  <si>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</si>
  <si>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</si>
  <si>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</si>
  <si>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</si>
  <si>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</si>
  <si>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</si>
  <si>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</si>
  <si>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</si>
  <si>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</si>
  <si>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</si>
  <si>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</si>
  <si>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</si>
  <si>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</si>
  <si>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</si>
  <si>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</si>
  <si>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</si>
  <si>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</si>
  <si>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</si>
  <si>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</si>
  <si>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</si>
  <si>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</si>
  <si>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</si>
  <si>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</si>
  <si>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</si>
  <si>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</si>
  <si>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</si>
  <si>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</si>
  <si>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</si>
  <si>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</si>
  <si>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</si>
  <si>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</si>
  <si>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</si>
  <si>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</si>
  <si>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</si>
  <si>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</si>
  <si>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</si>
  <si>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</si>
  <si>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</si>
  <si>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</si>
  <si>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</si>
  <si>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</si>
  <si>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</si>
  <si>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</si>
  <si>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</si>
  <si>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</si>
  <si>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</si>
  <si>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</si>
  <si>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</si>
  <si>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</si>
  <si>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</si>
  <si>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</si>
  <si>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</si>
  <si>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</si>
  <si>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</si>
  <si>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</si>
  <si>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</si>
  <si>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</si>
  <si>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</si>
  <si>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</si>
  <si>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</si>
  <si>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</si>
  <si>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</si>
  <si>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</si>
  <si>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</si>
  <si>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</si>
  <si>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</si>
  <si>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</si>
  <si>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</si>
  <si>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</si>
  <si>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</si>
  <si>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</si>
  <si>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</si>
  <si>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</si>
  <si>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</si>
  <si>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</si>
  <si>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</si>
  <si>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</si>
  <si>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</si>
  <si>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</si>
  <si>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</si>
  <si>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</si>
  <si>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</si>
  <si>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</si>
  <si>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</si>
  <si>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</si>
  <si>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</si>
  <si>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</si>
  <si>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</si>
  <si>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</si>
  <si>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</si>
  <si>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</si>
  <si>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</si>
  <si>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</si>
  <si>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</si>
  <si>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</si>
  <si>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</si>
  <si>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</si>
  <si>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</si>
  <si>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</si>
  <si>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</si>
  <si>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</si>
  <si>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</si>
  <si>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</si>
  <si>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</si>
  <si>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</si>
  <si>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</si>
  <si>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</si>
  <si>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</si>
  <si>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</si>
  <si>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</si>
  <si>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</si>
  <si>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</si>
  <si>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</si>
  <si>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</si>
  <si>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</si>
  <si>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</si>
  <si>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</si>
  <si>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</si>
  <si>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</si>
  <si>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</si>
  <si>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</si>
  <si>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</si>
  <si>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</si>
  <si>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</si>
  <si>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</si>
  <si>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</si>
  <si>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</si>
  <si>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</si>
  <si>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</si>
  <si>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</si>
  <si>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</si>
  <si>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</si>
  <si>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</si>
  <si>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</si>
  <si>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</si>
  <si>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</si>
  <si>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</si>
  <si>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</si>
  <si>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</si>
  <si>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</si>
  <si>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</si>
  <si>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</si>
  <si>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</si>
  <si>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</si>
  <si>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</si>
  <si>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</si>
  <si>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</si>
  <si>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</si>
  <si>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</si>
  <si>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</si>
  <si>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</si>
  <si>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</si>
  <si>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</si>
  <si>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</si>
  <si>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</si>
  <si>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</si>
  <si>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</si>
  <si>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</si>
  <si>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</si>
  <si>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</si>
  <si>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</si>
  <si>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</si>
  <si>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</si>
  <si>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</si>
  <si>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</si>
  <si>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</si>
  <si>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</si>
  <si>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</si>
  <si>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</si>
  <si>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</si>
  <si>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</si>
  <si>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</si>
  <si>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</si>
  <si>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</si>
  <si>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</si>
  <si>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</si>
  <si>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</si>
  <si>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</si>
  <si>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</si>
  <si>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</si>
  <si>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</si>
  <si>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</si>
  <si>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</si>
  <si>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</si>
  <si>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</si>
  <si>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</si>
  <si>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</si>
  <si>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</si>
  <si>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</si>
  <si>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</si>
  <si>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</si>
  <si>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</si>
  <si>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</si>
  <si>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</si>
  <si>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</si>
  <si>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</si>
  <si>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</si>
  <si>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</si>
  <si>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</si>
  <si>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</si>
  <si>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</si>
  <si>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</si>
  <si>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</si>
  <si>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</si>
  <si>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</si>
  <si>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</si>
  <si>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</si>
  <si>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</si>
  <si>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</si>
  <si>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</si>
  <si>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</si>
  <si>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</si>
  <si>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</si>
  <si>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</si>
  <si>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</si>
  <si>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</si>
  <si>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</si>
  <si>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</si>
  <si>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</si>
  <si>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</si>
  <si>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</si>
  <si>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</si>
  <si>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</si>
  <si>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</si>
  <si>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</si>
  <si>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</si>
  <si>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</si>
  <si>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</si>
  <si>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</si>
  <si>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</si>
  <si>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</si>
  <si>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</si>
  <si>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</si>
  <si>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</si>
  <si>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</si>
  <si>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</si>
  <si>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</si>
  <si>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</si>
  <si>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</si>
  <si>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</si>
  <si>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</si>
  <si>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</si>
  <si>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</si>
  <si>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</si>
  <si>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</si>
  <si>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</si>
  <si>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</si>
  <si>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</si>
  <si>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</si>
  <si>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</si>
  <si>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</si>
  <si>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</si>
  <si>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</si>
  <si>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</si>
  <si>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</si>
  <si>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</si>
  <si>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</si>
  <si>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</si>
  <si>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</si>
  <si>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</si>
  <si>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</si>
  <si>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</si>
  <si>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</si>
  <si>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</si>
  <si>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</si>
  <si>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</si>
  <si>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</si>
  <si>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</si>
  <si>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</si>
  <si>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</si>
  <si>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</si>
  <si>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</si>
  <si>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</si>
  <si>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</si>
  <si>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</si>
  <si>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</si>
  <si>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</si>
  <si>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</si>
  <si>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</si>
  <si>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</si>
  <si>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</si>
  <si>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</si>
  <si>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</si>
  <si>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</si>
  <si>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</si>
  <si>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</si>
  <si>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</si>
  <si>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</si>
  <si>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</si>
  <si>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</si>
  <si>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</si>
  <si>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</si>
  <si>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</si>
  <si>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</si>
  <si>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</si>
  <si>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</si>
  <si>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</si>
  <si>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</si>
  <si>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</si>
  <si>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</si>
  <si>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</si>
  <si>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</si>
  <si>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</si>
  <si>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</si>
  <si>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</si>
  <si>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</si>
  <si>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</si>
  <si>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</si>
  <si>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</si>
  <si>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</si>
  <si>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</si>
  <si>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</si>
  <si>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</si>
  <si>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</si>
  <si>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</si>
  <si>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</si>
  <si>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</si>
  <si>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</si>
  <si>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</si>
  <si>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</si>
  <si>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</si>
  <si>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</si>
  <si>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</si>
  <si>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</si>
  <si>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</si>
  <si>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</si>
  <si>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</si>
  <si>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</si>
  <si>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</si>
  <si>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</si>
  <si>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</si>
  <si>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</si>
  <si>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</si>
  <si>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</si>
  <si>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</si>
  <si>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</si>
  <si>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</si>
  <si>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</si>
  <si>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</si>
  <si>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</si>
  <si>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</si>
  <si>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</si>
  <si>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</si>
  <si>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</si>
  <si>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</si>
  <si>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</si>
  <si>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</si>
  <si>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</si>
  <si>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</si>
  <si>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</si>
  <si>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</si>
  <si>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</si>
  <si>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</si>
  <si>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</si>
  <si>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</si>
  <si>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</si>
  <si>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</si>
  <si>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</si>
  <si>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</si>
  <si>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</si>
  <si>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</si>
  <si>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</si>
  <si>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</si>
  <si>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</si>
  <si>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</si>
  <si>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</si>
  <si>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</si>
  <si>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</si>
  <si>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</si>
  <si>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</si>
  <si>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</si>
  <si>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</si>
  <si>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</si>
  <si>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</si>
  <si>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</si>
  <si>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</si>
  <si>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</si>
  <si>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</si>
  <si>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</si>
  <si>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</si>
  <si>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</si>
  <si>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</si>
  <si>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</si>
  <si>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</si>
  <si>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</si>
  <si>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</si>
  <si>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</si>
  <si>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</si>
  <si>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</si>
  <si>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</si>
  <si>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</si>
  <si>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</si>
  <si>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</si>
  <si>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</si>
  <si>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</si>
  <si>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</si>
  <si>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</si>
  <si>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</si>
  <si>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</si>
  <si>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</si>
  <si>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</si>
  <si>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</si>
  <si>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</si>
  <si>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</si>
  <si>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</si>
  <si>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</si>
  <si>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</si>
  <si>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</si>
  <si>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</si>
  <si>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</si>
  <si>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</si>
  <si>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</si>
  <si>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</si>
  <si>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</si>
  <si>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</si>
  <si>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</si>
  <si>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</si>
  <si>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</si>
  <si>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</si>
  <si>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</si>
  <si>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</si>
  <si>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</si>
  <si>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</si>
  <si>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</si>
  <si>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</si>
  <si>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</si>
  <si>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</si>
  <si>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</si>
  <si>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</si>
  <si>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</si>
  <si>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</si>
  <si>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</si>
  <si>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</si>
  <si>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</si>
  <si>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</si>
  <si>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</si>
  <si>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</si>
  <si>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</si>
  <si>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</si>
  <si>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</si>
  <si>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</si>
  <si>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</si>
  <si>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</si>
  <si>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</si>
  <si>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</si>
  <si>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</si>
  <si>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</si>
  <si>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</si>
  <si>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</si>
  <si>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</si>
  <si>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</si>
  <si>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</si>
  <si>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</si>
  <si>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</si>
  <si>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</si>
  <si>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</si>
  <si>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</si>
  <si>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</si>
  <si>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</si>
  <si>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</si>
  <si>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</si>
  <si>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</si>
  <si>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</si>
  <si>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</si>
  <si>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</si>
  <si>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</si>
  <si>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</si>
  <si>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</si>
  <si>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</si>
  <si>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</si>
  <si>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</si>
  <si>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</si>
  <si>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</si>
  <si>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</si>
  <si>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</si>
  <si>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</si>
  <si>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</si>
  <si>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</si>
  <si>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</si>
  <si>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</si>
  <si>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</si>
  <si>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</si>
  <si>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</si>
  <si>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</si>
  <si>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</si>
  <si>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</si>
  <si>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</si>
  <si>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</si>
  <si>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</si>
  <si>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</si>
  <si>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</si>
  <si>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</si>
  <si>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</si>
  <si>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</si>
  <si>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</si>
  <si>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</si>
  <si>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</si>
  <si>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</si>
  <si>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</si>
  <si>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</si>
  <si>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</si>
  <si>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</si>
  <si>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</si>
  <si>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</si>
  <si>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</si>
  <si>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</si>
  <si>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</si>
  <si>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</si>
  <si>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</si>
  <si>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</si>
  <si>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</si>
  <si>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</si>
  <si>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</si>
  <si>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</si>
  <si>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</si>
  <si>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</si>
  <si>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</si>
  <si>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</si>
  <si>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</si>
  <si>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</si>
  <si>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</si>
  <si>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</si>
  <si>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</si>
  <si>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</si>
  <si>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</si>
  <si>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</si>
  <si>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</si>
  <si>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</si>
  <si>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</si>
  <si>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</si>
  <si>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</si>
  <si>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</si>
  <si>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</si>
  <si>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</si>
  <si>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</si>
  <si>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</si>
  <si>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</si>
  <si>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</si>
  <si>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</si>
  <si>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</si>
  <si>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</si>
  <si>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</si>
  <si>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</si>
  <si>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</si>
  <si>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</si>
  <si>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</si>
  <si>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</si>
  <si>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</si>
  <si>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</si>
  <si>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</si>
  <si>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</si>
  <si>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</si>
  <si>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</si>
  <si>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</si>
  <si>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</si>
  <si>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</si>
  <si>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</si>
  <si>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</si>
  <si>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</si>
  <si>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</si>
  <si>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</si>
  <si>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</si>
  <si>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</si>
  <si>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</si>
  <si>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</si>
  <si>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</si>
  <si>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</si>
  <si>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</si>
  <si>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</si>
  <si>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</si>
  <si>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</si>
  <si>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</si>
  <si>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</si>
  <si>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</si>
  <si>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</si>
  <si>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</si>
  <si>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</si>
  <si>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</si>
  <si>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</si>
  <si>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</si>
  <si>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</si>
  <si>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</si>
  <si>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</si>
  <si>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</si>
  <si>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</si>
  <si>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</si>
  <si>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</si>
  <si>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</si>
  <si>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</si>
  <si>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</si>
  <si>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</si>
  <si>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</si>
  <si>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</si>
  <si>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</si>
  <si>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</si>
  <si>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</si>
  <si>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</si>
  <si>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</si>
  <si>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</si>
  <si>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</si>
  <si>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</si>
  <si>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</si>
  <si>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</si>
  <si>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</si>
  <si>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</si>
  <si>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</si>
  <si>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</si>
  <si>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</si>
  <si>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</si>
  <si>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</si>
  <si>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</si>
  <si>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</si>
  <si>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</si>
  <si>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</si>
  <si>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</si>
  <si>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</si>
  <si>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</si>
  <si>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</si>
  <si>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</si>
  <si>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</si>
  <si>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</si>
  <si>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</si>
  <si>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</si>
  <si>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</si>
  <si>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</si>
  <si>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</si>
  <si>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</si>
  <si>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</si>
  <si>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</si>
  <si>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</si>
  <si>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</si>
  <si>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</si>
  <si>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</si>
  <si>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</si>
  <si>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</si>
  <si>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</si>
  <si>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</si>
  <si>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</si>
  <si>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</si>
  <si>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</si>
  <si>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</si>
  <si>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</si>
  <si>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</si>
  <si>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</si>
  <si>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</si>
  <si>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</si>
  <si>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</si>
  <si>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</si>
  <si>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</si>
  <si>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</si>
  <si>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</si>
  <si>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</si>
  <si>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</si>
  <si>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</si>
  <si>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</si>
  <si>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</si>
  <si>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</si>
  <si>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</si>
  <si>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</si>
  <si>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</si>
  <si>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</si>
  <si>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</si>
  <si>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</si>
  <si>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</si>
  <si>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</si>
  <si>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</si>
  <si>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</si>
  <si>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</si>
  <si>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</si>
  <si>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</si>
  <si>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</si>
  <si>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</si>
  <si>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</si>
  <si>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</si>
  <si>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</si>
  <si>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</si>
  <si>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</si>
  <si>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</si>
  <si>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</si>
  <si>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</si>
  <si>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</si>
  <si>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</si>
  <si>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</si>
  <si>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</si>
  <si>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</si>
  <si>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</si>
  <si>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</si>
  <si>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</si>
  <si>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</si>
  <si>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</si>
  <si>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</si>
  <si>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</si>
  <si>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</si>
  <si>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</si>
  <si>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</si>
  <si>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</si>
  <si>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</si>
  <si>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</si>
  <si>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</si>
  <si>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</si>
  <si>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</si>
  <si>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</si>
  <si>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</si>
  <si>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</si>
  <si>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</si>
  <si>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</si>
  <si>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</si>
  <si>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</si>
  <si>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</si>
  <si>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</si>
  <si>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</si>
  <si>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</si>
  <si>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</si>
  <si>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</si>
  <si>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</si>
  <si>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</si>
  <si>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</si>
  <si>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</si>
  <si>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</si>
  <si>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</si>
  <si>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</si>
  <si>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</si>
  <si>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</si>
  <si>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</si>
  <si>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</si>
  <si>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</si>
  <si>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</si>
  <si>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</si>
  <si>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</si>
  <si>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</si>
  <si>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</si>
  <si>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</si>
  <si>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</si>
  <si>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</si>
  <si>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</si>
  <si>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</si>
  <si>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</si>
  <si>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</si>
  <si>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</si>
  <si>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</si>
  <si>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</si>
  <si>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</si>
  <si>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</si>
  <si>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</si>
  <si>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</si>
  <si>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</si>
  <si>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</si>
  <si>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</si>
  <si>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</si>
  <si>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</si>
  <si>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</si>
  <si>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</si>
  <si>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</si>
  <si>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</si>
  <si>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</si>
  <si>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</si>
  <si>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</si>
  <si>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</si>
  <si>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</si>
  <si>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</si>
  <si>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</si>
  <si>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</si>
  <si>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</si>
  <si>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</si>
  <si>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</si>
  <si>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</si>
  <si>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</si>
  <si>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</si>
  <si>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</si>
  <si>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</si>
  <si>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</si>
  <si>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</si>
  <si>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</si>
  <si>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</si>
  <si>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</si>
  <si>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</si>
  <si>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</si>
  <si>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</si>
  <si>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</si>
  <si>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</si>
  <si>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</si>
  <si>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</si>
  <si>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</si>
  <si>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</si>
  <si>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</si>
  <si>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</si>
  <si>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</si>
  <si>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</si>
  <si>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</si>
  <si>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</si>
  <si>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</si>
  <si>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</si>
  <si>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</si>
  <si>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</si>
  <si>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</si>
  <si>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</si>
  <si>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</si>
  <si>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</si>
  <si>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</si>
  <si>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</si>
  <si>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</si>
  <si>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</si>
  <si>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</si>
  <si>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</si>
  <si>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</si>
  <si>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</si>
  <si>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</si>
  <si>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</si>
  <si>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</si>
  <si>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</si>
  <si>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</si>
  <si>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</si>
  <si>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</si>
  <si>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</si>
  <si>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</si>
  <si>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</si>
  <si>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</si>
  <si>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</si>
  <si>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</si>
  <si>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</si>
  <si>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</si>
  <si>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</si>
  <si>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</si>
  <si>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</si>
  <si>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</si>
  <si>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</si>
  <si>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</si>
  <si>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</si>
  <si>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</si>
  <si>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</si>
  <si>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</si>
  <si>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</si>
  <si>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</si>
  <si>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</si>
  <si>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</si>
  <si>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</si>
  <si>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</si>
  <si>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</si>
  <si>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</si>
  <si>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</si>
  <si>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</si>
  <si>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</si>
  <si>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</si>
  <si>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</si>
  <si>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</si>
  <si>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</si>
  <si>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</si>
  <si>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</si>
  <si>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</si>
  <si>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</si>
  <si>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</si>
  <si>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</si>
  <si>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</si>
  <si>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</si>
  <si>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</si>
  <si>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</si>
  <si>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</si>
  <si>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</si>
  <si>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</si>
  <si>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</si>
  <si>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</si>
  <si>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</si>
  <si>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</si>
  <si>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</si>
  <si>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</si>
  <si>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</si>
  <si>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</si>
  <si>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</si>
  <si>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</si>
  <si>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</si>
  <si>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</si>
  <si>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</si>
  <si>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</si>
  <si>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</si>
  <si>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</si>
  <si>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</si>
  <si>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</si>
  <si>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</si>
  <si>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</si>
  <si>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</si>
  <si>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</si>
  <si>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</si>
  <si>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</si>
  <si>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</si>
  <si>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</si>
  <si>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</si>
  <si>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</si>
  <si>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</si>
  <si>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</si>
  <si>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</si>
  <si>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</si>
  <si>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</si>
  <si>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</si>
  <si>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</si>
  <si>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</si>
  <si>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</si>
  <si>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</si>
  <si>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</si>
  <si>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</si>
  <si>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</si>
  <si>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</si>
  <si>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</si>
  <si>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</si>
  <si>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</si>
  <si>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</si>
  <si>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</si>
  <si>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</si>
  <si>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</si>
  <si>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</si>
  <si>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</si>
  <si>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</si>
  <si>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</si>
  <si>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</si>
  <si>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</si>
  <si>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</si>
  <si>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</si>
  <si>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</si>
  <si>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</si>
  <si>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</si>
  <si>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</si>
  <si>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</si>
  <si>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</si>
  <si>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</si>
  <si>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</si>
  <si>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</si>
  <si>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</si>
  <si>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</si>
  <si>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</si>
  <si>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</si>
  <si>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</si>
  <si>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</si>
  <si>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</si>
  <si>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</si>
  <si>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</si>
  <si>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</si>
  <si>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</si>
  <si>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</si>
  <si>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</si>
  <si>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</si>
  <si>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</si>
  <si>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</si>
  <si>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</si>
  <si>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</si>
  <si>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</si>
  <si>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</si>
  <si>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</si>
  <si>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</si>
  <si>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</si>
  <si>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</si>
  <si>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</si>
  <si>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</si>
  <si>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</si>
  <si>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</si>
  <si>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</si>
  <si>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</si>
  <si>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</si>
  <si>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</si>
  <si>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</si>
  <si>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</si>
  <si>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</si>
  <si>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</si>
  <si>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</si>
  <si>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</si>
  <si>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</si>
  <si>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</si>
  <si>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</si>
  <si>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</si>
  <si>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</si>
  <si>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</si>
  <si>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</si>
  <si>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</si>
  <si>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</si>
  <si>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</si>
  <si>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</si>
  <si>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</si>
  <si>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</si>
  <si>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</si>
  <si>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</si>
  <si>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</si>
  <si>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</si>
  <si>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</si>
  <si>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</si>
  <si>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</si>
  <si>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</si>
  <si>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</si>
  <si>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</si>
  <si>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</si>
  <si>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</si>
  <si>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</si>
  <si>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</si>
  <si>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</si>
  <si>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</si>
  <si>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</si>
  <si>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</si>
  <si>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</si>
  <si>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</si>
  <si>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</si>
  <si>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</si>
  <si>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</si>
  <si>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</si>
  <si>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</si>
  <si>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</si>
  <si>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</si>
  <si>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</si>
  <si>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</si>
  <si>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</si>
  <si>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</si>
  <si>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</si>
  <si>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</si>
  <si>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</si>
  <si>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</si>
  <si>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</si>
  <si>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</si>
  <si>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</si>
  <si>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</si>
  <si>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</si>
  <si>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</si>
  <si>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</si>
  <si>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</si>
  <si>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</si>
  <si>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</si>
  <si>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</si>
  <si>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</si>
  <si>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</si>
  <si>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</si>
  <si>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</si>
  <si>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</si>
  <si>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</si>
  <si>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</si>
  <si>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</si>
  <si>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</si>
  <si>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</si>
  <si>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</si>
  <si>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</si>
  <si>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</si>
  <si>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</si>
  <si>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</si>
  <si>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</si>
  <si>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</si>
  <si>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</si>
  <si>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</si>
  <si>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</si>
  <si>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</si>
  <si>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</si>
  <si>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</si>
  <si>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</si>
  <si>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</si>
  <si>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</si>
  <si>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</si>
  <si>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</si>
  <si>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</si>
  <si>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</si>
  <si>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</si>
  <si>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</si>
  <si>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</si>
  <si>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</si>
  <si>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</si>
  <si>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</si>
  <si>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</si>
  <si>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</si>
  <si>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</si>
  <si>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</si>
  <si>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</si>
  <si>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</si>
  <si>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</si>
  <si>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</si>
  <si>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</si>
  <si>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</si>
  <si>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</si>
  <si>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</si>
  <si>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</si>
  <si>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</si>
  <si>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</si>
  <si>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</si>
  <si>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</si>
  <si>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</si>
  <si>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</si>
  <si>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</si>
  <si>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</si>
  <si>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</si>
  <si>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</si>
  <si>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</si>
  <si>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</si>
  <si>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</si>
  <si>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</si>
  <si>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</si>
  <si>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</si>
  <si>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</si>
  <si>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</si>
  <si>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</si>
  <si>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</si>
  <si>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</si>
  <si>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</si>
  <si>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</si>
  <si>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</si>
  <si>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</si>
  <si>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</si>
  <si>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</si>
  <si>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</si>
  <si>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</si>
  <si>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</si>
  <si>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</si>
  <si>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</si>
  <si>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</si>
  <si>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</si>
  <si>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</si>
  <si>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</si>
  <si>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</si>
  <si>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</si>
  <si>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</si>
  <si>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</si>
  <si>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</si>
  <si>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</si>
  <si>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</si>
  <si>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</si>
  <si>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</si>
  <si>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</si>
  <si>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</si>
  <si>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</si>
  <si>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</si>
  <si>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</si>
  <si>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</si>
  <si>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</si>
  <si>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</si>
  <si>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</si>
  <si>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</si>
  <si>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</si>
  <si>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</si>
  <si>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</si>
  <si>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</si>
  <si>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</si>
  <si>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</si>
  <si>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</si>
  <si>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</si>
  <si>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</si>
  <si>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</si>
  <si>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</si>
  <si>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</si>
  <si>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</si>
  <si>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</si>
  <si>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</si>
  <si>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</si>
  <si>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</si>
  <si>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</si>
  <si>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</si>
  <si>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</si>
  <si>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</si>
  <si>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</si>
  <si>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</si>
  <si>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</si>
  <si>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</si>
  <si>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</si>
  <si>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</si>
  <si>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</si>
  <si>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</si>
  <si>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</si>
  <si>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</si>
  <si>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</si>
  <si>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</si>
  <si>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</si>
  <si>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</si>
  <si>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</si>
  <si>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</si>
  <si>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</si>
  <si>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</si>
  <si>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</si>
  <si>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</si>
  <si>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</si>
  <si>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</si>
  <si>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</si>
  <si>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</si>
  <si>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</si>
  <si>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</si>
  <si>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</si>
  <si>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</si>
  <si>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</si>
  <si>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</si>
  <si>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</si>
  <si>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</si>
  <si>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</si>
  <si>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</si>
  <si>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</si>
  <si>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</si>
  <si>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</si>
  <si>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</si>
  <si>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</si>
  <si>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</si>
  <si>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</si>
  <si>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</si>
  <si>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</si>
  <si>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</si>
  <si>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</si>
  <si>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</si>
  <si>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</si>
  <si>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</si>
  <si>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</si>
  <si>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</si>
  <si>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</si>
  <si>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</si>
  <si>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</si>
  <si>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</si>
  <si>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</si>
  <si>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</si>
  <si>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</si>
  <si>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</si>
  <si>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</si>
  <si>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</si>
  <si>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</si>
  <si>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</si>
  <si>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</si>
  <si>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</si>
  <si>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</si>
  <si>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</si>
  <si>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</si>
  <si>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</si>
  <si>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</si>
  <si>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</si>
  <si>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</si>
  <si>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</si>
  <si>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</si>
  <si>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</si>
  <si>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</si>
  <si>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</si>
  <si>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</si>
  <si>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</si>
  <si>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</si>
  <si>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</si>
  <si>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</si>
  <si>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</si>
  <si>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</si>
  <si>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</si>
  <si>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</si>
  <si>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</si>
  <si>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</si>
  <si>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</si>
  <si>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</si>
  <si>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</si>
  <si>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</si>
  <si>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</si>
  <si>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</si>
  <si>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</si>
  <si>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</si>
  <si>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</si>
  <si>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</si>
  <si>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</si>
  <si>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</si>
  <si>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</si>
  <si>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</si>
  <si>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</si>
  <si>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</si>
  <si>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</si>
  <si>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</si>
  <si>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</si>
  <si>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</si>
  <si>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</si>
  <si>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</si>
  <si>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</si>
  <si>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</si>
  <si>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</si>
  <si>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</si>
  <si>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</si>
  <si>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</si>
  <si>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</si>
  <si>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</si>
  <si>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</si>
  <si>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</si>
  <si>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</si>
  <si>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</si>
  <si>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</si>
  <si>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</si>
  <si>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</si>
  <si>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</si>
  <si>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</si>
  <si>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</si>
  <si>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</si>
  <si>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</si>
  <si>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</si>
  <si>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</si>
  <si>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</si>
  <si>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</si>
  <si>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</si>
  <si>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</si>
  <si>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</si>
  <si>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</si>
  <si>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</si>
  <si>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</si>
  <si>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</si>
  <si>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</si>
  <si>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</si>
  <si>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</si>
  <si>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</si>
  <si>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</si>
  <si>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</si>
  <si>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</si>
  <si>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</si>
  <si>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</si>
  <si>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</si>
  <si>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</si>
  <si>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</si>
  <si>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</si>
  <si>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</si>
  <si>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</si>
  <si>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</si>
  <si>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</si>
  <si>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</si>
  <si>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</si>
  <si>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</si>
  <si>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</si>
  <si>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</si>
  <si>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</si>
  <si>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</si>
  <si>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</si>
  <si>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</si>
  <si>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</si>
  <si>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</si>
  <si>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</si>
  <si>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</si>
  <si>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</si>
  <si>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</si>
  <si>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</si>
  <si>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</si>
  <si>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</si>
  <si>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</si>
  <si>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</si>
  <si>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</si>
  <si>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</si>
  <si>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</si>
  <si>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</si>
  <si>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</si>
  <si>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</si>
  <si>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</si>
  <si>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</si>
  <si>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</si>
  <si>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</si>
  <si>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</si>
  <si>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</si>
  <si>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</si>
  <si>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</si>
  <si>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</si>
  <si>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</si>
  <si>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</si>
  <si>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</si>
  <si>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</si>
  <si>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</si>
  <si>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</si>
  <si>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</si>
  <si>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</si>
  <si>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</si>
  <si>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</si>
  <si>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</si>
  <si>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</si>
  <si>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</si>
  <si>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</si>
  <si>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</si>
  <si>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</si>
  <si>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</si>
  <si>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</si>
  <si>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</si>
  <si>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</si>
  <si>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</si>
  <si>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</si>
  <si>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</si>
  <si>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</si>
  <si>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</si>
  <si>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</si>
  <si>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</si>
  <si>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</si>
  <si>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</si>
  <si>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</si>
  <si>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</si>
  <si>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</si>
  <si>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</si>
  <si>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</si>
  <si>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</si>
  <si>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</si>
  <si>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</si>
  <si>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</si>
  <si>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</si>
  <si>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</si>
  <si>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</si>
  <si>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</si>
  <si>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</si>
  <si>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</si>
  <si>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</si>
  <si>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</si>
  <si>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</si>
  <si>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</si>
  <si>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</si>
  <si>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</si>
  <si>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</si>
  <si>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</si>
  <si>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</si>
  <si>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</si>
  <si>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</si>
  <si>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</si>
  <si>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</si>
  <si>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</si>
  <si>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</si>
  <si>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</si>
  <si>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</si>
  <si>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</si>
  <si>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</si>
  <si>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</si>
  <si>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</si>
  <si>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</si>
  <si>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</si>
  <si>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</si>
  <si>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</si>
  <si>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</si>
  <si>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</si>
  <si>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</si>
  <si>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</si>
  <si>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</si>
  <si>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</si>
  <si>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</si>
  <si>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</si>
  <si>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</si>
  <si>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</si>
  <si>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</si>
  <si>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</si>
  <si>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</si>
  <si>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</si>
  <si>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</si>
  <si>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</si>
  <si>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</si>
  <si>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</si>
  <si>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</si>
  <si>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</si>
  <si>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</si>
  <si>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</si>
  <si>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</si>
  <si>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</si>
  <si>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</si>
  <si>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</si>
  <si>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</si>
  <si>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</si>
  <si>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</si>
  <si>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</si>
  <si>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</si>
  <si>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</si>
  <si>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</si>
  <si>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</si>
  <si>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</si>
  <si>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</si>
  <si>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</si>
  <si>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</si>
  <si>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</si>
  <si>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</si>
  <si>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</si>
  <si>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</si>
  <si>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</si>
  <si>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</si>
  <si>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</si>
  <si>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</si>
  <si>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</si>
  <si>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</si>
  <si>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</si>
  <si>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</si>
  <si>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</si>
  <si>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</si>
  <si>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</si>
  <si>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</si>
  <si>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</si>
  <si>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</si>
  <si>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</si>
  <si>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</si>
  <si>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</si>
  <si>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</si>
  <si>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</si>
  <si>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</si>
  <si>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</si>
  <si>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</si>
  <si>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</si>
  <si>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</si>
  <si>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</si>
  <si>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</si>
  <si>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</si>
  <si>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</si>
  <si>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</si>
  <si>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</si>
  <si>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</si>
  <si>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</si>
  <si>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</si>
  <si>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</si>
  <si>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</si>
  <si>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</si>
  <si>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</si>
  <si>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</si>
  <si>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</si>
  <si>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</si>
  <si>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</si>
  <si>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</si>
  <si>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</si>
  <si>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</si>
  <si>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</si>
  <si>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</si>
  <si>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</si>
  <si>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</si>
  <si>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</si>
  <si>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</si>
  <si>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</si>
  <si>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</si>
  <si>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</si>
  <si>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</si>
  <si>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</si>
  <si>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</si>
  <si>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</si>
  <si>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</si>
  <si>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</si>
  <si>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</si>
  <si>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</si>
  <si>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</si>
  <si>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</si>
  <si>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</si>
  <si>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</si>
  <si>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</si>
  <si>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</si>
  <si>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</si>
  <si>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</si>
  <si>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</si>
  <si>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</si>
  <si>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</si>
  <si>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</si>
  <si>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</si>
  <si>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</si>
  <si>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</si>
  <si>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</si>
  <si>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</si>
  <si>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</si>
  <si>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</si>
  <si>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</si>
  <si>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</si>
  <si>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</si>
  <si>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</si>
  <si>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</si>
  <si>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</si>
  <si>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</si>
  <si>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</si>
  <si>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</si>
  <si>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</si>
  <si>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</si>
  <si>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</si>
  <si>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</si>
  <si>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</si>
  <si>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</si>
  <si>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</si>
  <si>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</si>
  <si>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</si>
  <si>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</si>
  <si>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</si>
  <si>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</si>
  <si>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</si>
  <si>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</si>
  <si>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</si>
  <si>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</si>
  <si>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</si>
  <si>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</si>
  <si>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</si>
  <si>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</si>
  <si>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</si>
  <si>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</si>
  <si>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</si>
  <si>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</si>
  <si>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</si>
  <si>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</si>
  <si>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</si>
  <si>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</si>
  <si>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</si>
  <si>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</si>
  <si>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</si>
  <si>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</si>
  <si>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</si>
  <si>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</si>
  <si>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</si>
  <si>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</si>
  <si>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</si>
  <si>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</si>
  <si>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</si>
  <si>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</si>
  <si>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</si>
  <si>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</si>
  <si>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</si>
  <si>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</si>
  <si>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</si>
  <si>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</si>
  <si>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</si>
  <si>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</si>
  <si>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</si>
  <si>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</si>
  <si>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</si>
  <si>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</si>
  <si>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</si>
  <si>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</si>
  <si>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</si>
  <si>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</si>
  <si>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</si>
  <si>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</si>
  <si>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</si>
  <si>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</si>
  <si>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</si>
  <si>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</si>
  <si>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</si>
  <si>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</si>
  <si>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</si>
  <si>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</si>
  <si>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</si>
  <si>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</si>
  <si>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</si>
  <si>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</si>
  <si>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</si>
  <si>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</si>
  <si>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</si>
  <si>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</si>
  <si>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</si>
  <si>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</si>
  <si>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</si>
  <si>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</si>
  <si>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</si>
  <si>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</si>
  <si>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</si>
  <si>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</si>
  <si>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</si>
  <si>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</si>
  <si>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</si>
  <si>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</si>
  <si>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</si>
  <si>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</si>
  <si>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</si>
  <si>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</si>
  <si>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</si>
  <si>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</si>
  <si>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</si>
  <si>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</si>
  <si>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</si>
  <si>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</si>
  <si>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</si>
  <si>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</si>
  <si>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</si>
  <si>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</si>
  <si>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</si>
  <si>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</si>
  <si>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</si>
  <si>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</si>
  <si>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</si>
  <si>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</si>
  <si>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</si>
  <si>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</si>
  <si>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</si>
  <si>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</si>
  <si>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</si>
  <si>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</si>
  <si>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</si>
  <si>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</si>
  <si>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</si>
  <si>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</si>
  <si>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</si>
  <si>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</si>
  <si>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</si>
  <si>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</si>
  <si>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</si>
  <si>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</si>
  <si>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</si>
  <si>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</si>
  <si>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</si>
  <si>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</si>
  <si>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</si>
  <si>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</si>
  <si>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</si>
  <si>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</si>
  <si>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</si>
  <si>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</si>
  <si>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</si>
  <si>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</si>
  <si>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</si>
  <si>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</si>
  <si>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</si>
  <si>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</si>
  <si>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</si>
  <si>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</si>
  <si>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</si>
  <si>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</si>
  <si>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</si>
  <si>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</si>
  <si>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</si>
  <si>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</si>
  <si>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</si>
  <si>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</si>
  <si>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</si>
  <si>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</si>
  <si>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</si>
  <si>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</si>
  <si>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</si>
  <si>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</si>
  <si>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</si>
  <si>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</si>
  <si>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</si>
  <si>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</si>
  <si>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</si>
  <si>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</si>
  <si>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</si>
  <si>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</si>
  <si>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</si>
  <si>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</si>
  <si>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</si>
  <si>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</si>
  <si>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</si>
  <si>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</si>
  <si>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</si>
  <si>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</si>
  <si>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</si>
  <si>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</si>
  <si>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</si>
  <si>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</si>
  <si>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</si>
  <si>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</si>
  <si>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</si>
  <si>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</si>
  <si>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</si>
  <si>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</si>
  <si>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</si>
  <si>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</si>
  <si>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</si>
  <si>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</si>
  <si>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</si>
  <si>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</si>
  <si>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</si>
  <si>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</si>
  <si>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</si>
  <si>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</si>
  <si>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</si>
  <si>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</si>
  <si>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</si>
  <si>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</si>
  <si>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</si>
  <si>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</si>
  <si>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</si>
  <si>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</si>
  <si>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</si>
  <si>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</si>
  <si>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</si>
  <si>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</si>
  <si>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</si>
  <si>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</si>
  <si>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</si>
  <si>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</si>
  <si>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</si>
  <si>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</si>
  <si>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</si>
  <si>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</si>
  <si>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</si>
  <si>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</si>
  <si>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</si>
  <si>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</si>
  <si>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</si>
  <si>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</si>
  <si>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</si>
  <si>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</si>
  <si>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</si>
  <si>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</si>
  <si>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</si>
  <si>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</si>
  <si>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</si>
  <si>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</si>
  <si>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</si>
  <si>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</si>
  <si>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</si>
  <si>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</si>
  <si>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</si>
  <si>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</si>
  <si>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</si>
  <si>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</si>
  <si>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</si>
  <si>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</si>
  <si>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</si>
  <si>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</si>
  <si>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</si>
  <si>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</si>
  <si>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</si>
  <si>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</si>
  <si>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</si>
  <si>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</si>
  <si>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</si>
  <si>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</si>
  <si>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</si>
  <si>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</si>
  <si>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</si>
  <si>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</si>
  <si>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</si>
  <si>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</si>
  <si>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</si>
  <si>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</si>
  <si>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</si>
  <si>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</si>
  <si>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</si>
  <si>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</si>
  <si>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</si>
  <si>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</si>
  <si>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</si>
  <si>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</si>
  <si>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</si>
  <si>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</si>
  <si>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</si>
  <si>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</si>
  <si>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</si>
  <si>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</si>
  <si>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</si>
  <si>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</si>
  <si>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</si>
  <si>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</si>
  <si>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</si>
  <si>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</si>
  <si>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</si>
  <si>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</si>
  <si>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</si>
  <si>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</si>
  <si>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</si>
  <si>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</si>
  <si>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</si>
  <si>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</si>
  <si>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</si>
  <si>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</si>
  <si>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</si>
  <si>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</si>
  <si>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</si>
  <si>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</si>
  <si>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</si>
  <si>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</si>
  <si>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</si>
  <si>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</si>
  <si>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</si>
  <si>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</si>
  <si>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</si>
  <si>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</si>
  <si>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</si>
  <si>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</si>
  <si>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</si>
  <si>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</si>
  <si>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</si>
  <si>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</si>
  <si>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</si>
  <si>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</si>
  <si>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</si>
  <si>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</si>
  <si>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</si>
  <si>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</si>
  <si>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</si>
  <si>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</si>
  <si>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</si>
  <si>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</si>
  <si>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</si>
  <si>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</si>
  <si>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</si>
  <si>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</si>
  <si>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</si>
  <si>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</si>
  <si>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</si>
  <si>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</si>
  <si>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</si>
  <si>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</si>
  <si>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</si>
  <si>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</si>
  <si>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</si>
  <si>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</si>
  <si>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</si>
  <si>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</si>
  <si>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</si>
  <si>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</si>
  <si>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</si>
  <si>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</si>
  <si>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</si>
  <si>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</si>
  <si>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</si>
  <si>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</si>
  <si>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</si>
  <si>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</si>
  <si>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</si>
  <si>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</si>
  <si>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</si>
  <si>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</si>
  <si>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</si>
  <si>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</si>
  <si>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</si>
  <si>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</si>
  <si>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</si>
  <si>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</si>
  <si>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</si>
  <si>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</si>
  <si>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</si>
  <si>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</si>
  <si>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</si>
  <si>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</si>
  <si>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</si>
  <si>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</si>
  <si>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</si>
  <si>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</si>
  <si>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</si>
  <si>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</si>
  <si>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</si>
  <si>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</si>
  <si>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</si>
  <si>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</si>
  <si>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</si>
  <si>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</si>
  <si>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</si>
  <si>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</si>
  <si>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</si>
  <si>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</si>
  <si>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</si>
  <si>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</si>
  <si>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</si>
  <si>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</si>
  <si>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</si>
  <si>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</si>
  <si>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</si>
  <si>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</si>
  <si>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</si>
  <si>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</si>
  <si>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</si>
  <si>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</si>
  <si>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</si>
  <si>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</si>
  <si>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</si>
  <si>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</si>
  <si>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</si>
  <si>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</si>
  <si>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</si>
  <si>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</si>
  <si>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</si>
  <si>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</si>
  <si>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</si>
  <si>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</si>
  <si>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</si>
  <si>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</si>
  <si>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</si>
  <si>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</si>
  <si>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</si>
  <si>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</si>
  <si>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</si>
  <si>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</si>
  <si>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</si>
  <si>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</si>
  <si>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</si>
  <si>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</si>
  <si>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</si>
  <si>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</si>
  <si>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</si>
  <si>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</si>
  <si>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</si>
  <si>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</si>
  <si>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</si>
  <si>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</si>
  <si>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</si>
  <si>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</si>
  <si>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</si>
  <si>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</si>
  <si>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</si>
  <si>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</si>
  <si>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</si>
  <si>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</si>
  <si>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</si>
  <si>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</si>
  <si>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</si>
  <si>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</si>
  <si>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</si>
  <si>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</si>
  <si>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</si>
  <si>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</si>
  <si>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</si>
  <si>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</si>
  <si>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</si>
  <si>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</si>
  <si>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</si>
  <si>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</si>
  <si>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</si>
  <si>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</si>
  <si>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</si>
  <si>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</si>
  <si>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</si>
  <si>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</si>
  <si>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</si>
  <si>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</si>
  <si>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</si>
  <si>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</si>
  <si>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</si>
  <si>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</si>
  <si>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</si>
  <si>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</si>
  <si>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</si>
  <si>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</si>
  <si>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</si>
  <si>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</si>
  <si>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</si>
  <si>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</si>
  <si>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</si>
  <si>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</si>
  <si>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</si>
  <si>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</si>
  <si>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</si>
  <si>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</si>
  <si>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</si>
  <si>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</si>
  <si>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</si>
  <si>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</si>
  <si>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</si>
  <si>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</si>
  <si>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</si>
  <si>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</si>
  <si>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</si>
  <si>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</si>
  <si>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</si>
  <si>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</si>
  <si>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</si>
  <si>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</si>
  <si>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</si>
  <si>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</si>
  <si>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</si>
  <si>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</si>
  <si>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</si>
  <si>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</si>
  <si>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</si>
  <si>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</si>
  <si>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</si>
  <si>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</si>
  <si>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</si>
  <si>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</si>
  <si>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</si>
  <si>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</si>
  <si>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</si>
  <si>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</si>
  <si>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</si>
  <si>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</si>
  <si>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</si>
  <si>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</si>
  <si>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</si>
  <si>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</si>
  <si>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</si>
  <si>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</si>
  <si>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</si>
  <si>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</si>
  <si>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</si>
  <si>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</si>
  <si>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</si>
  <si>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</si>
  <si>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</si>
  <si>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</si>
  <si>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</si>
  <si>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</si>
  <si>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</si>
  <si>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</si>
  <si>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</si>
  <si>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</si>
  <si>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</si>
  <si>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</si>
  <si>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</si>
  <si>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</si>
  <si>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</si>
  <si>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</si>
  <si>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</si>
  <si>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</si>
  <si>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</si>
  <si>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</si>
  <si>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</si>
  <si>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</si>
  <si>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</si>
  <si>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</si>
  <si>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</si>
  <si>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</si>
  <si>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</si>
  <si>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</si>
  <si>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</si>
  <si>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</si>
  <si>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</si>
  <si>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</si>
  <si>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</si>
  <si>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</si>
  <si>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</si>
  <si>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</si>
  <si>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</si>
  <si>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</si>
  <si>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</si>
  <si>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</si>
  <si>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</si>
  <si>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</si>
  <si>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</si>
  <si>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</si>
  <si>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</si>
  <si>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</si>
  <si>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</si>
  <si>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</si>
  <si>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</si>
  <si>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</si>
  <si>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</si>
  <si>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</si>
  <si>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</si>
  <si>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</si>
  <si>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</si>
  <si>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</si>
  <si>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</si>
  <si>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</si>
  <si>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</si>
  <si>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</si>
  <si>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</si>
  <si>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</si>
  <si>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</si>
  <si>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</si>
  <si>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</si>
  <si>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</si>
  <si>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</si>
  <si>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</si>
  <si>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</si>
  <si>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</si>
  <si>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</si>
  <si>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</si>
  <si>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</si>
  <si>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</si>
  <si>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</si>
  <si>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</si>
  <si>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</si>
  <si>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</si>
  <si>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</si>
  <si>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</si>
  <si>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</si>
  <si>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</si>
  <si>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</si>
  <si>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</si>
  <si>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</si>
  <si>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</si>
  <si>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</si>
  <si>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</si>
  <si>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</si>
  <si>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</si>
  <si>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</si>
  <si>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</si>
  <si>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</si>
  <si>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</si>
  <si>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</si>
  <si>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</si>
  <si>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</si>
  <si>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</si>
  <si>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</si>
  <si>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</si>
  <si>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</si>
  <si>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</si>
  <si>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</si>
  <si>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</si>
  <si>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</si>
  <si>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</si>
  <si>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</si>
  <si>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</si>
  <si>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</si>
  <si>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</si>
  <si>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</si>
  <si>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</si>
  <si>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</si>
  <si>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</si>
  <si>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</si>
  <si>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</si>
  <si>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</si>
  <si>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</si>
  <si>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</si>
  <si>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</si>
  <si>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</si>
  <si>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</si>
  <si>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</si>
  <si>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</si>
  <si>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</si>
  <si>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</si>
  <si>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</si>
  <si>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</si>
  <si>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</si>
  <si>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</si>
  <si>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</si>
  <si>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</si>
  <si>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</si>
  <si>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</si>
  <si>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</si>
  <si>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</si>
  <si>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</si>
  <si>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</si>
  <si>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</si>
  <si>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</si>
  <si>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</si>
  <si>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</si>
  <si>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</si>
  <si>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</si>
  <si>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</si>
  <si>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</si>
  <si>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</si>
  <si>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</si>
  <si>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</si>
  <si>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</si>
  <si>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</si>
  <si>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</si>
  <si>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</si>
  <si>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</si>
  <si>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</si>
  <si>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</si>
  <si>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</si>
  <si>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</si>
  <si>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</si>
  <si>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</si>
  <si>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</si>
  <si>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</si>
  <si>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</si>
  <si>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</si>
  <si>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</si>
  <si>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</si>
  <si>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</si>
  <si>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</si>
  <si>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</si>
  <si>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</si>
  <si>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</si>
  <si>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</si>
  <si>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</si>
  <si>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</si>
  <si>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</si>
  <si>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</si>
  <si>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</si>
  <si>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</si>
  <si>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</si>
  <si>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</si>
  <si>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</si>
  <si>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</si>
  <si>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</si>
  <si>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</si>
  <si>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</si>
  <si>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</si>
  <si>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</si>
  <si>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</si>
  <si>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</si>
  <si>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</si>
  <si>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</si>
  <si>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</si>
  <si>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</si>
  <si>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</si>
  <si>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</si>
  <si>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</si>
  <si>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</si>
  <si>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</si>
  <si>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</si>
  <si>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</si>
  <si>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</si>
  <si>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</si>
  <si>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</si>
  <si>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</si>
  <si>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</si>
  <si>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</si>
  <si>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</si>
  <si>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</si>
  <si>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</si>
  <si>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</si>
  <si>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</si>
  <si>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</si>
  <si>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</si>
  <si>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</si>
  <si>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</si>
  <si>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</si>
  <si>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</si>
  <si>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</si>
  <si>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</si>
  <si>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</si>
  <si>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</si>
  <si>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</si>
  <si>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</si>
  <si>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</si>
  <si>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</si>
  <si>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</si>
  <si>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</si>
  <si>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</si>
  <si>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</si>
  <si>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</si>
  <si>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</si>
  <si>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</si>
  <si>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</si>
  <si>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</si>
  <si>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</si>
  <si>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</si>
  <si>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</si>
  <si>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</si>
  <si>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</si>
  <si>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</si>
  <si>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</si>
  <si>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</si>
  <si>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</si>
  <si>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</si>
  <si>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</si>
  <si>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</si>
  <si>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</si>
  <si>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</si>
  <si>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</si>
  <si>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</si>
  <si>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</si>
  <si>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</si>
  <si>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</si>
  <si>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</si>
  <si>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</si>
  <si>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</si>
  <si>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</si>
  <si>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</si>
  <si>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</si>
  <si>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</si>
  <si>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</si>
  <si>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</si>
  <si>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</si>
  <si>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</si>
  <si>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</si>
  <si>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</si>
  <si>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</si>
  <si>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</si>
  <si>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</si>
  <si>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</si>
  <si>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</si>
  <si>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</si>
  <si>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</si>
  <si>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</si>
  <si>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</si>
  <si>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</si>
  <si>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</si>
  <si>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</si>
  <si>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</si>
  <si>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</si>
  <si>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</si>
  <si>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</si>
  <si>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</si>
  <si>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</si>
  <si>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</si>
  <si>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</si>
  <si>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</si>
  <si>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</si>
  <si>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</si>
  <si>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</si>
  <si>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</si>
  <si>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</si>
  <si>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</si>
  <si>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</si>
  <si>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</si>
  <si>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</si>
  <si>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</si>
  <si>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</si>
  <si>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</si>
  <si>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</si>
  <si>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</si>
  <si>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</si>
  <si>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</si>
  <si>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</si>
  <si>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</si>
  <si>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</si>
  <si>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</si>
  <si>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</si>
  <si>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</si>
  <si>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</si>
  <si>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</si>
  <si>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</si>
  <si>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</si>
  <si>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</si>
  <si>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</si>
  <si>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</si>
  <si>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</si>
  <si>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</si>
  <si>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</si>
  <si>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</si>
  <si>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</si>
  <si>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</si>
  <si>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</si>
  <si>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</si>
  <si>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</si>
  <si>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</si>
  <si>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</si>
  <si>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</si>
  <si>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</si>
  <si>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</si>
  <si>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</si>
  <si>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</si>
  <si>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</si>
  <si>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</si>
  <si>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</si>
  <si>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</si>
  <si>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</si>
  <si>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</si>
  <si>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</si>
  <si>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</si>
  <si>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</si>
  <si>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</si>
  <si>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</si>
  <si>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</si>
  <si>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</si>
  <si>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</si>
  <si>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</si>
  <si>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</si>
  <si>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</si>
  <si>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</si>
  <si>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</si>
  <si>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</si>
  <si>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</si>
  <si>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</si>
  <si>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</si>
  <si>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</si>
  <si>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</si>
  <si>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</si>
  <si>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</si>
  <si>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</si>
  <si>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</si>
  <si>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</si>
  <si>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</si>
  <si>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</si>
  <si>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</si>
  <si>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</si>
  <si>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</si>
  <si>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</si>
  <si>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</si>
  <si>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</si>
  <si>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</si>
  <si>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</si>
  <si>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</si>
  <si>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</si>
  <si>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</si>
  <si>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</si>
  <si>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</si>
  <si>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</si>
  <si>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</si>
  <si>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</si>
  <si>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</si>
  <si>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</si>
  <si>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</si>
  <si>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</si>
  <si>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</si>
  <si>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</si>
  <si>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</si>
  <si>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</si>
  <si>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</si>
  <si>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</si>
  <si>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</si>
  <si>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</si>
  <si>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</si>
  <si>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</si>
  <si>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</si>
  <si>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</si>
  <si>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</si>
  <si>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</si>
  <si>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</si>
  <si>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</si>
  <si>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</si>
  <si>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</si>
  <si>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</si>
  <si>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</si>
  <si>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</si>
  <si>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</si>
  <si>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</si>
  <si>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</si>
  <si>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</si>
  <si>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</si>
  <si>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</si>
  <si>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</si>
  <si>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</si>
  <si>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</si>
  <si>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</si>
  <si>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</si>
  <si>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</si>
  <si>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</si>
  <si>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</si>
  <si>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</si>
  <si>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</si>
  <si>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</si>
  <si>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</si>
  <si>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</si>
  <si>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</si>
  <si>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</si>
  <si>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</si>
  <si>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</si>
  <si>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</si>
  <si>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</si>
  <si>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</si>
  <si>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</si>
  <si>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</si>
  <si>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</si>
  <si>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</si>
  <si>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</si>
  <si>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</si>
  <si>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</si>
  <si>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</si>
  <si>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</si>
  <si>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</si>
  <si>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</si>
  <si>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</si>
  <si>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</si>
  <si>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</si>
  <si>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</si>
  <si>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</si>
  <si>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</si>
  <si>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</si>
  <si>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</si>
  <si>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</si>
  <si>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</si>
  <si>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</si>
  <si>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</si>
  <si>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</si>
  <si>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</si>
  <si>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</si>
  <si>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</si>
  <si>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</si>
  <si>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</si>
  <si>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</si>
  <si>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</si>
  <si>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</si>
  <si>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</si>
  <si>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</si>
  <si>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</si>
  <si>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</si>
  <si>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</si>
  <si>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</si>
  <si>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</si>
  <si>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</si>
  <si>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</si>
  <si>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</si>
  <si>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</si>
  <si>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</si>
  <si>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</si>
  <si>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</si>
  <si>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</si>
  <si>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</si>
  <si>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</si>
  <si>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</si>
  <si>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</si>
  <si>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</si>
  <si>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</si>
  <si>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</si>
  <si>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</si>
  <si>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</si>
  <si>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</si>
  <si>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</si>
  <si>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</si>
  <si>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</si>
  <si>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</si>
  <si>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</si>
  <si>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</si>
  <si>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</si>
  <si>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</si>
  <si>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</si>
  <si>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</si>
  <si>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</si>
  <si>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</si>
  <si>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</si>
  <si>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</si>
  <si>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</si>
  <si>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</si>
  <si>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</si>
  <si>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</si>
  <si>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</si>
  <si>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</si>
  <si>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</si>
  <si>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</si>
  <si>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</si>
  <si>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</si>
  <si>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</si>
  <si>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</si>
  <si>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</si>
  <si>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</si>
  <si>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</si>
  <si>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</si>
  <si>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</si>
  <si>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</si>
  <si>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</si>
  <si>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</si>
  <si>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</si>
  <si>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</si>
  <si>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</si>
  <si>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</si>
  <si>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</si>
  <si>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</si>
  <si>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</si>
  <si>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</si>
  <si>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</si>
  <si>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</si>
  <si>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</si>
  <si>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</si>
  <si>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</si>
  <si>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</si>
  <si>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</si>
  <si>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</si>
  <si>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</si>
  <si>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</si>
  <si>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</si>
  <si>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</si>
  <si>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</si>
  <si>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</si>
  <si>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</si>
  <si>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</si>
  <si>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</si>
  <si>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</si>
  <si>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</si>
  <si>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</si>
  <si>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</si>
  <si>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</si>
  <si>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</si>
  <si>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</si>
  <si>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</si>
  <si>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</si>
  <si>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</si>
  <si>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</si>
  <si>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</si>
  <si>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</si>
  <si>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</si>
  <si>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</si>
  <si>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</si>
  <si>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</si>
  <si>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</si>
  <si>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</si>
  <si>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</si>
  <si>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</si>
  <si>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</si>
  <si>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</si>
  <si>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</si>
  <si>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</si>
  <si>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</si>
  <si>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</si>
  <si>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</si>
  <si>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</si>
  <si>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</si>
  <si>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</si>
  <si>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</si>
  <si>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</si>
  <si>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</si>
  <si>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</si>
  <si>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</si>
  <si>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</si>
  <si>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</si>
  <si>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</si>
  <si>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</si>
  <si>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</si>
  <si>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</si>
  <si>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</si>
  <si>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</si>
  <si>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</si>
  <si>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</si>
  <si>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</si>
  <si>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</si>
  <si>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</si>
  <si>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</si>
  <si>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</si>
  <si>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</si>
  <si>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</si>
  <si>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</si>
  <si>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</si>
  <si>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</si>
  <si>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</si>
  <si>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</si>
  <si>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</si>
  <si>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</si>
  <si>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</si>
  <si>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</si>
  <si>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</si>
  <si>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</si>
  <si>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</si>
  <si>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</si>
  <si>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</si>
  <si>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</si>
  <si>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</si>
  <si>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</si>
  <si>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</si>
  <si>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</si>
  <si>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</si>
  <si>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</si>
  <si>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</si>
  <si>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</si>
  <si>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</si>
  <si>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</si>
  <si>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</si>
  <si>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</si>
  <si>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</si>
  <si>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</si>
  <si>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</si>
  <si>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</si>
  <si>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</si>
  <si>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</si>
  <si>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</si>
  <si>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</si>
  <si>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</si>
  <si>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</si>
  <si>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</si>
  <si>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</si>
  <si>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</si>
  <si>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</si>
  <si>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</si>
  <si>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</si>
  <si>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</si>
  <si>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</si>
  <si>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</si>
  <si>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</si>
  <si>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</si>
  <si>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</si>
  <si>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</si>
  <si>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</si>
  <si>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</si>
  <si>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</si>
  <si>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</si>
  <si>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</si>
  <si>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</si>
  <si>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</si>
  <si>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</si>
  <si>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</si>
  <si>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</si>
  <si>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</si>
  <si>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</si>
  <si>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</si>
  <si>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</si>
  <si>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</si>
  <si>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</si>
  <si>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</si>
  <si>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</si>
  <si>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</si>
  <si>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</si>
  <si>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</si>
  <si>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</si>
  <si>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</si>
  <si>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</si>
  <si>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</si>
  <si>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</si>
  <si>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</si>
  <si>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</si>
  <si>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</si>
  <si>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</si>
  <si>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</si>
  <si>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</si>
  <si>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</si>
  <si>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</si>
  <si>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</si>
  <si>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</si>
  <si>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</si>
  <si>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</si>
  <si>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</si>
  <si>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</si>
  <si>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</si>
  <si>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</si>
  <si>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</si>
  <si>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</si>
  <si>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</si>
  <si>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</si>
  <si>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</si>
  <si>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</si>
  <si>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</si>
  <si>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</si>
  <si>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</si>
  <si>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</si>
  <si>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</si>
  <si>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</si>
  <si>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</si>
  <si>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</si>
  <si>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</si>
  <si>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</si>
  <si>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</si>
  <si>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</si>
  <si>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</si>
  <si>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</si>
  <si>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</si>
  <si>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</si>
  <si>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</si>
  <si>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</si>
  <si>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</si>
  <si>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</si>
  <si>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</si>
  <si>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</si>
  <si>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</si>
  <si>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</si>
  <si>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</si>
  <si>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</si>
  <si>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</si>
  <si>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</si>
  <si>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</si>
  <si>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</si>
  <si>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</si>
  <si>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</si>
  <si>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</si>
  <si>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</si>
  <si>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</si>
  <si>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</si>
  <si>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</si>
  <si>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</si>
  <si>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</si>
  <si>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</si>
  <si>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</si>
  <si>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</si>
  <si>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</si>
  <si>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</si>
  <si>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</si>
  <si>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</si>
  <si>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</si>
  <si>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</si>
  <si>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</si>
  <si>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</si>
  <si>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</si>
  <si>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</si>
  <si>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</si>
  <si>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</si>
  <si>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</si>
  <si>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</si>
  <si>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</si>
  <si>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</si>
  <si>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</si>
  <si>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</si>
  <si>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</si>
  <si>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</si>
  <si>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</si>
  <si>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</si>
  <si>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</si>
  <si>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</si>
  <si>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</si>
  <si>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</si>
  <si>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</si>
  <si>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</si>
  <si>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</si>
  <si>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</si>
  <si>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</si>
  <si>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</si>
  <si>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</si>
  <si>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</si>
  <si>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</si>
  <si>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</si>
  <si>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</si>
  <si>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</si>
  <si>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</si>
  <si>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</si>
  <si>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</si>
  <si>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</si>
  <si>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</si>
  <si>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</si>
  <si>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</si>
  <si>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</si>
  <si>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</si>
  <si>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</si>
  <si>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</si>
  <si>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</si>
  <si>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</si>
  <si>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</si>
  <si>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</si>
  <si>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</si>
  <si>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</si>
  <si>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</si>
  <si>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</si>
  <si>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</si>
  <si>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</si>
  <si>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</si>
  <si>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</si>
  <si>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</si>
  <si>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</si>
  <si>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</si>
  <si>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</si>
  <si>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</si>
  <si>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</si>
  <si>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</si>
  <si>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</si>
  <si>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</si>
  <si>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</si>
  <si>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</si>
  <si>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</si>
  <si>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</si>
  <si>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</si>
  <si>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</si>
  <si>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</si>
  <si>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</si>
  <si>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</si>
  <si>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</si>
  <si>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</si>
  <si>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</si>
  <si>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</si>
  <si>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</si>
  <si>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</si>
  <si>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</si>
  <si>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</si>
  <si>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</si>
  <si>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</si>
  <si>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</si>
  <si>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</si>
  <si>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</si>
  <si>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</si>
  <si>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</si>
  <si>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</si>
  <si>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</si>
  <si>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</si>
  <si>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</si>
  <si>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</si>
  <si>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</si>
  <si>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</si>
  <si>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</si>
  <si>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</si>
  <si>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</si>
  <si>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</si>
  <si>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</si>
  <si>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</si>
  <si>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</si>
  <si>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</si>
  <si>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</si>
  <si>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</si>
  <si>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</si>
  <si>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</si>
  <si>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</si>
  <si>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</si>
  <si>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</si>
  <si>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</si>
  <si>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</si>
  <si>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</si>
  <si>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</si>
  <si>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</si>
  <si>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</si>
  <si>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</si>
  <si>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</si>
  <si>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</si>
  <si>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</si>
  <si>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</si>
  <si>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</si>
  <si>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</si>
  <si>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</si>
  <si>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</si>
  <si>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</si>
  <si>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</si>
  <si>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</si>
  <si>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</si>
  <si>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</si>
  <si>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</si>
  <si>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</si>
  <si>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</si>
  <si>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</si>
  <si>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</si>
  <si>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</si>
  <si>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</si>
  <si>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</si>
  <si>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</si>
  <si>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</si>
  <si>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</si>
  <si>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</si>
  <si>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</si>
  <si>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</si>
  <si>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</si>
  <si>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</si>
  <si>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</si>
  <si>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</si>
  <si>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</si>
  <si>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</si>
  <si>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</si>
  <si>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</si>
  <si>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</si>
  <si>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</si>
  <si>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</si>
  <si>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</si>
  <si>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</si>
  <si>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</si>
  <si>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</si>
  <si>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</si>
  <si>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</si>
  <si>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</si>
  <si>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</si>
  <si>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</si>
  <si>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</si>
  <si>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</si>
  <si>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</si>
  <si>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</si>
  <si>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</si>
  <si>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</si>
  <si>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</si>
  <si>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</si>
  <si>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</si>
  <si>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</si>
  <si>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</si>
  <si>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</si>
  <si>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</si>
  <si>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</si>
  <si>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</si>
  <si>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</si>
  <si>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</si>
  <si>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</si>
  <si>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</si>
  <si>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</si>
  <si>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</si>
  <si>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</si>
  <si>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</si>
  <si>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</si>
  <si>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</si>
  <si>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</si>
  <si>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</si>
  <si>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</si>
  <si>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</si>
  <si>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</si>
  <si>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</si>
  <si>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</si>
  <si>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</si>
  <si>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</si>
  <si>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</si>
  <si>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</si>
  <si>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</si>
  <si>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</si>
  <si>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</si>
  <si>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</si>
  <si>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</si>
  <si>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</si>
  <si>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</si>
  <si>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</si>
  <si>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</si>
  <si>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</si>
  <si>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</si>
  <si>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</si>
  <si>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</si>
  <si>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</si>
  <si>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</si>
  <si>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</si>
  <si>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</si>
  <si>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</si>
  <si>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</si>
  <si>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</si>
  <si>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</si>
  <si>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</si>
  <si>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</si>
  <si>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</si>
  <si>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</si>
  <si>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</si>
  <si>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</si>
  <si>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</si>
  <si>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</si>
  <si>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</si>
  <si>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</si>
  <si>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</si>
  <si>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</si>
  <si>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</si>
  <si>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</si>
  <si>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</si>
  <si>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</si>
  <si>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</si>
  <si>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</si>
  <si>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</si>
  <si>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</si>
  <si>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</si>
  <si>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</si>
  <si>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</si>
  <si>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</si>
  <si>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</si>
  <si>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</si>
  <si>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</si>
  <si>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</si>
  <si>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</si>
  <si>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</si>
  <si>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</si>
  <si>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</si>
  <si>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</si>
  <si>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</si>
  <si>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</si>
  <si>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</si>
  <si>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</si>
  <si>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</si>
  <si>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</si>
  <si>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</si>
  <si>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</si>
  <si>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</si>
  <si>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</si>
  <si>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</si>
  <si>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</si>
  <si>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</si>
  <si>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</si>
  <si>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</si>
  <si>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</si>
  <si>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</si>
  <si>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</si>
  <si>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</si>
  <si>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</si>
  <si>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</si>
  <si>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</si>
  <si>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</si>
  <si>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</si>
  <si>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</si>
  <si>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</si>
  <si>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</si>
  <si>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</si>
  <si>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</si>
  <si>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</si>
  <si>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</si>
  <si>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</si>
  <si>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</si>
  <si>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</si>
  <si>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</si>
  <si>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</si>
  <si>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</si>
  <si>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</si>
  <si>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</si>
  <si>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</si>
  <si>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</si>
  <si>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</si>
  <si>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</si>
  <si>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</si>
  <si>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</si>
  <si>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</si>
  <si>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</si>
  <si>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</si>
  <si>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</si>
  <si>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</si>
  <si>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</si>
  <si>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</si>
  <si>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</si>
  <si>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</si>
  <si>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</si>
  <si>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</si>
  <si>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</si>
  <si>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</si>
  <si>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</si>
  <si>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</si>
  <si>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</si>
  <si>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</si>
  <si>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</si>
  <si>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</si>
  <si>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</si>
  <si>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</si>
  <si>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</si>
  <si>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</si>
  <si>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</si>
  <si>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</si>
  <si>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</si>
  <si>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</si>
  <si>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</si>
  <si>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</si>
  <si>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</si>
  <si>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</si>
  <si>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</si>
  <si>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</si>
  <si>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</si>
  <si>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</si>
  <si>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</si>
  <si>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</si>
  <si>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</si>
  <si>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</si>
  <si>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</si>
  <si>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</si>
  <si>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</si>
  <si>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</si>
  <si>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</si>
  <si>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</si>
  <si>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</si>
  <si>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</si>
  <si>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</si>
  <si>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</si>
  <si>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</si>
  <si>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</si>
  <si>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</si>
  <si>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</si>
  <si>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</si>
  <si>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</si>
  <si>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</si>
  <si>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</si>
  <si>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</si>
  <si>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</si>
  <si>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</si>
  <si>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</si>
  <si>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</si>
  <si>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</si>
  <si>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</si>
  <si>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</si>
  <si>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</si>
  <si>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</si>
  <si>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</si>
  <si>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</si>
  <si>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</si>
  <si>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</si>
  <si>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</si>
  <si>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</si>
  <si>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</si>
  <si>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</si>
  <si>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</si>
  <si>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</si>
  <si>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</si>
  <si>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</si>
  <si>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</si>
  <si>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</si>
  <si>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</si>
  <si>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</si>
  <si>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</si>
  <si>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</si>
  <si>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</si>
  <si>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</si>
  <si>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</si>
  <si>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</si>
  <si>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</si>
  <si>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</si>
  <si>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</si>
  <si>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</si>
  <si>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</si>
  <si>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</si>
  <si>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</si>
  <si>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</si>
  <si>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</si>
  <si>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</si>
  <si>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</si>
  <si>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</si>
  <si>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</si>
  <si>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</si>
  <si>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</si>
  <si>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</si>
  <si>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</si>
  <si>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</si>
  <si>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</si>
  <si>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</si>
  <si>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</si>
  <si>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</si>
  <si>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</si>
  <si>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</si>
  <si>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</si>
  <si>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</si>
  <si>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</si>
  <si>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</si>
  <si>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</si>
  <si>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</si>
  <si>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</si>
  <si>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</si>
  <si>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</si>
  <si>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</si>
  <si>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</si>
  <si>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</si>
  <si>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</si>
  <si>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</si>
  <si>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</si>
  <si>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</si>
  <si>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</si>
  <si>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</si>
  <si>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</si>
  <si>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</si>
  <si>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</si>
  <si>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</si>
  <si>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</si>
  <si>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</si>
  <si>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</si>
  <si>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</si>
  <si>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</si>
  <si>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</si>
  <si>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</si>
  <si>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</si>
  <si>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</si>
  <si>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</si>
  <si>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</si>
  <si>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</si>
  <si>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</si>
  <si>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</si>
  <si>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</si>
  <si>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</si>
  <si>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</si>
  <si>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</si>
  <si>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</si>
  <si>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</si>
  <si>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</si>
  <si>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</si>
  <si>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</si>
  <si>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</si>
  <si>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</si>
  <si>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</si>
  <si>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</si>
  <si>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</si>
  <si>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</si>
  <si>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</si>
  <si>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</si>
  <si>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</si>
  <si>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</si>
  <si>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</si>
  <si>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</si>
  <si>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</si>
  <si>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</si>
  <si>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</si>
  <si>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</si>
  <si>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</si>
  <si>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</si>
  <si>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</si>
  <si>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</si>
  <si>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</si>
  <si>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</si>
  <si>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</si>
  <si>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</si>
  <si>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</si>
  <si>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</si>
  <si>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</si>
  <si>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</si>
  <si>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</si>
  <si>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</si>
  <si>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</si>
  <si>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</si>
  <si>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</si>
  <si>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</si>
  <si>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</si>
  <si>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</si>
  <si>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</si>
  <si>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</si>
  <si>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</si>
  <si>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</si>
  <si>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</si>
  <si>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</si>
  <si>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</si>
  <si>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</si>
  <si>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</si>
  <si>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</si>
  <si>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</si>
  <si>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</si>
  <si>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</si>
  <si>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</si>
  <si>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</si>
  <si>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</si>
  <si>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</si>
  <si>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</si>
  <si>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</si>
  <si>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</si>
  <si>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</si>
  <si>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</si>
  <si>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</si>
  <si>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</si>
  <si>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</si>
  <si>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</si>
  <si>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</si>
  <si>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</si>
  <si>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</si>
  <si>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</si>
  <si>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</si>
  <si>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</si>
  <si>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</si>
  <si>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</si>
  <si>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</si>
  <si>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</si>
  <si>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</si>
  <si>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</si>
  <si>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</si>
  <si>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</si>
  <si>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</si>
  <si>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</si>
  <si>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</si>
  <si>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</si>
  <si>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</si>
  <si>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</si>
  <si>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</si>
  <si>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</si>
  <si>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</si>
  <si>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</si>
  <si>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</si>
  <si>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</si>
  <si>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</si>
  <si>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</si>
  <si>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</si>
  <si>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</si>
  <si>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</si>
  <si>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</si>
  <si>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</si>
  <si>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</si>
  <si>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</si>
  <si>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</si>
  <si>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</si>
  <si>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</si>
  <si>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</si>
  <si>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</si>
  <si>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</si>
  <si>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</si>
  <si>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</si>
  <si>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</si>
  <si>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</si>
  <si>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</si>
  <si>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</si>
  <si>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</si>
  <si>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</si>
  <si>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</si>
  <si>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</si>
  <si>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</si>
  <si>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</si>
  <si>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</si>
  <si>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</si>
  <si>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</si>
  <si>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</si>
  <si>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</si>
  <si>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</si>
  <si>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</si>
  <si>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</si>
  <si>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</si>
  <si>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</si>
  <si>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</si>
  <si>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</si>
  <si>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</si>
  <si>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</si>
  <si>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</si>
  <si>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</si>
  <si>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</si>
  <si>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</si>
  <si>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</si>
  <si>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</si>
  <si>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</si>
  <si>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</si>
  <si>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</si>
  <si>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</si>
  <si>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</si>
  <si>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</si>
  <si>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</si>
  <si>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</si>
  <si>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</si>
  <si>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</si>
  <si>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</si>
  <si>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</si>
  <si>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</si>
  <si>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</si>
  <si>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</si>
  <si>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</si>
  <si>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</si>
  <si>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</si>
  <si>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</si>
  <si>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</si>
  <si>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</si>
  <si>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</si>
  <si>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</si>
  <si>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</si>
  <si>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</si>
  <si>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</si>
  <si>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</si>
  <si>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</si>
  <si>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</si>
  <si>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</si>
  <si>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</si>
  <si>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</si>
  <si>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</si>
  <si>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</si>
  <si>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</si>
  <si>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</si>
  <si>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</si>
  <si>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</si>
  <si>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</si>
  <si>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</si>
  <si>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</si>
  <si>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</si>
  <si>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</si>
  <si>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</si>
  <si>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</si>
  <si>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</si>
  <si>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</si>
  <si>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</si>
  <si>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</si>
  <si>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</si>
  <si>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</si>
  <si>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</si>
  <si>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</si>
  <si>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</si>
  <si>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</si>
  <si>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</si>
  <si>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</si>
  <si>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</si>
  <si>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</si>
  <si>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</si>
  <si>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</si>
  <si>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</si>
  <si>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</si>
  <si>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</si>
  <si>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</si>
  <si>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</si>
  <si>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</si>
  <si>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</si>
  <si>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</si>
  <si>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</si>
  <si>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</si>
  <si>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</si>
  <si>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</si>
  <si>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</si>
  <si>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</si>
  <si>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</si>
  <si>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</si>
  <si>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</si>
  <si>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</si>
  <si>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</si>
  <si>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</si>
  <si>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</si>
  <si>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</si>
  <si>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</si>
  <si>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</si>
  <si>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</si>
  <si>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</si>
  <si>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</si>
  <si>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</si>
  <si>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</si>
  <si>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</si>
  <si>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</si>
  <si>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</si>
  <si>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</si>
  <si>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</si>
  <si>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</si>
  <si>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</si>
  <si>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</si>
  <si>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</si>
  <si>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</si>
  <si>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</si>
  <si>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</si>
  <si>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</si>
  <si>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</si>
  <si>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</si>
  <si>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</si>
  <si>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</si>
  <si>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</si>
  <si>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</si>
  <si>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</si>
  <si>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</si>
  <si>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</si>
  <si>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</si>
  <si>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</si>
  <si>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</si>
  <si>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</si>
  <si>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</si>
  <si>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</si>
  <si>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</si>
  <si>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</si>
  <si>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</si>
  <si>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</si>
  <si>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</si>
  <si>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</si>
  <si>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</si>
  <si>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</si>
  <si>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</si>
  <si>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</si>
  <si>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</si>
  <si>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</si>
  <si>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</si>
  <si>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</si>
  <si>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</si>
  <si>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</si>
  <si>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</si>
  <si>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</si>
  <si>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</si>
  <si>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</si>
  <si>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</si>
  <si>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</si>
  <si>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</si>
  <si>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</si>
  <si>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</si>
  <si>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</si>
  <si>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</si>
  <si>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</si>
  <si>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</si>
  <si>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</si>
  <si>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</si>
  <si>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</si>
  <si>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</si>
  <si>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</si>
  <si>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</si>
  <si>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</si>
  <si>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</si>
  <si>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</si>
  <si>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</si>
  <si>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</si>
  <si>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</si>
  <si>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</si>
  <si>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</si>
  <si>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</si>
  <si>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</si>
  <si>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</si>
  <si>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</si>
  <si>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</si>
  <si>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</si>
  <si>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</si>
  <si>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</si>
  <si>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</si>
  <si>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</si>
  <si>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</si>
  <si>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</si>
  <si>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</si>
  <si>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</si>
  <si>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</si>
  <si>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</si>
  <si>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</si>
  <si>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</si>
  <si>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</si>
  <si>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</si>
  <si>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</si>
  <si>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</si>
  <si>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</si>
  <si>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</si>
  <si>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</si>
  <si>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</si>
  <si>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</si>
  <si>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</si>
  <si>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</si>
  <si>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</si>
  <si>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</si>
  <si>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</si>
  <si>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</si>
  <si>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</si>
  <si>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</si>
  <si>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</si>
  <si>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</si>
  <si>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</si>
  <si>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</si>
  <si>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</si>
  <si>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</si>
  <si>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</si>
  <si>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</si>
  <si>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</si>
  <si>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</si>
  <si>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</si>
  <si>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</si>
  <si>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</si>
  <si>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</si>
  <si>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</si>
  <si>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</si>
  <si>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</si>
  <si>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</si>
  <si>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</si>
  <si>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</si>
  <si>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</si>
  <si>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</si>
  <si>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</si>
  <si>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</si>
  <si>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</si>
  <si>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</si>
  <si>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</si>
  <si>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</si>
  <si>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</si>
  <si>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</si>
  <si>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</si>
  <si>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</si>
  <si>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</si>
  <si>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</si>
  <si>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</si>
  <si>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</si>
  <si>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</si>
  <si>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</si>
  <si>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</si>
  <si>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</si>
  <si>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</si>
  <si>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</si>
  <si>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</si>
  <si>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</si>
  <si>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</si>
  <si>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</si>
  <si>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</si>
  <si>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</si>
  <si>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</si>
  <si>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</si>
  <si>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</si>
  <si>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</si>
  <si>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</si>
  <si>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</si>
  <si>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</si>
  <si>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</si>
  <si>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</si>
  <si>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</si>
  <si>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</si>
  <si>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</si>
  <si>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</si>
  <si>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</si>
  <si>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</si>
  <si>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</si>
  <si>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</si>
  <si>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</si>
  <si>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</si>
  <si>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</si>
  <si>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</si>
  <si>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</si>
  <si>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</si>
  <si>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</si>
  <si>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</si>
  <si>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</si>
  <si>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</si>
  <si>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</si>
  <si>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</si>
  <si>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</si>
  <si>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</si>
  <si>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</si>
  <si>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</si>
  <si>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</si>
  <si>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</si>
  <si>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</si>
  <si>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</si>
  <si>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</si>
  <si>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</si>
  <si>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</si>
  <si>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</si>
  <si>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</si>
  <si>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</si>
  <si>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</si>
  <si>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</si>
  <si>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</si>
  <si>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</si>
  <si>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</si>
  <si>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</si>
  <si>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</si>
  <si>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</si>
  <si>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</si>
  <si>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</si>
  <si>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</si>
  <si>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</si>
  <si>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</si>
  <si>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</si>
  <si>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</si>
  <si>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</si>
  <si>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</si>
  <si>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</si>
  <si>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</si>
  <si>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</si>
  <si>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</si>
  <si>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</si>
  <si>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</si>
  <si>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</si>
  <si>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</si>
  <si>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</si>
  <si>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</si>
  <si>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</si>
  <si>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</si>
  <si>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</si>
  <si>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</si>
  <si>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</si>
  <si>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</si>
  <si>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</si>
  <si>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</si>
  <si>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</si>
  <si>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</si>
  <si>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</si>
  <si>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</si>
  <si>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</si>
  <si>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</si>
  <si>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</si>
  <si>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</si>
  <si>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</si>
  <si>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</si>
  <si>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</si>
  <si>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</si>
  <si>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</si>
  <si>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</si>
  <si>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</si>
  <si>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</si>
  <si>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</si>
  <si>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</si>
  <si>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</si>
  <si>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</si>
  <si>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</si>
  <si>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</si>
  <si>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</si>
  <si>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</si>
  <si>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</si>
  <si>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</si>
  <si>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</si>
  <si>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</si>
  <si>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</si>
  <si>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</si>
  <si>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</si>
  <si>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</si>
  <si>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</si>
  <si>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</si>
  <si>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</si>
  <si>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</si>
  <si>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</si>
  <si>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</si>
  <si>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</si>
  <si>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</si>
  <si>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</si>
  <si>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</si>
  <si>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</si>
  <si>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</si>
  <si>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</si>
  <si>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</si>
  <si>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</si>
  <si>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</si>
  <si>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</si>
  <si>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</si>
  <si>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</si>
  <si>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</si>
  <si>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</si>
  <si>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</si>
  <si>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</si>
  <si>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</si>
  <si>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</si>
  <si>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</si>
  <si>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</si>
  <si>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</si>
  <si>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</si>
  <si>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</si>
  <si>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</si>
  <si>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</si>
  <si>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</si>
  <si>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</si>
  <si>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</si>
  <si>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</si>
  <si>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</si>
  <si>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</si>
  <si>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</si>
  <si>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</si>
  <si>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</si>
  <si>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</si>
  <si>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</si>
  <si>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</si>
  <si>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</si>
  <si>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</si>
  <si>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</si>
  <si>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</si>
  <si>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</si>
  <si>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</si>
  <si>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</si>
  <si>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</si>
  <si>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</si>
  <si>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</si>
  <si>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</si>
  <si>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</si>
  <si>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</si>
  <si>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</si>
  <si>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</si>
  <si>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</si>
  <si>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</si>
  <si>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</si>
  <si>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</si>
  <si>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</si>
  <si>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</si>
  <si>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</si>
  <si>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</si>
  <si>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</si>
  <si>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</si>
  <si>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</si>
  <si>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</si>
  <si>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</si>
  <si>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</si>
  <si>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</si>
  <si>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</si>
  <si>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</si>
  <si>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</si>
  <si>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</si>
  <si>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</si>
  <si>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</si>
  <si>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</si>
  <si>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</si>
  <si>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</si>
  <si>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</si>
  <si>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</si>
  <si>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</si>
  <si>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</si>
  <si>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</si>
  <si>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</si>
  <si>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</si>
  <si>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</si>
  <si>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</si>
  <si>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</si>
  <si>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</si>
  <si>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</si>
  <si>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</si>
  <si>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</si>
  <si>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</si>
  <si>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</si>
  <si>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</si>
  <si>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</si>
  <si>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</si>
  <si>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</si>
  <si>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</si>
  <si>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</si>
  <si>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</si>
  <si>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</si>
  <si>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</si>
  <si>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</si>
  <si>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</si>
  <si>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</si>
  <si>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</si>
  <si>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</si>
  <si>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</si>
  <si>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</si>
  <si>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</si>
  <si>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</si>
  <si>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</si>
  <si>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</si>
  <si>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</si>
  <si>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</si>
  <si>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</si>
  <si>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</si>
  <si>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</si>
  <si>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</si>
  <si>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</si>
  <si>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</si>
  <si>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</si>
  <si>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</si>
  <si>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</si>
  <si>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</si>
  <si>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</si>
  <si>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</si>
  <si>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</si>
  <si>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</si>
  <si>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</si>
  <si>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</si>
  <si>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</si>
  <si>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</si>
  <si>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</si>
  <si>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</si>
  <si>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</si>
  <si>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</si>
  <si>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</si>
  <si>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</si>
  <si>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</si>
  <si>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</si>
  <si>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</si>
  <si>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</si>
  <si>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</si>
  <si>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</si>
  <si>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</si>
  <si>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</si>
  <si>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</si>
  <si>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</si>
  <si>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</si>
  <si>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</si>
  <si>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</si>
  <si>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</si>
  <si>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</si>
  <si>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</si>
  <si>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</si>
  <si>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</si>
  <si>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</si>
  <si>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</si>
  <si>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</si>
  <si>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</si>
  <si>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</si>
  <si>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</si>
  <si>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</si>
  <si>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</si>
  <si>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</si>
  <si>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</si>
  <si>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</si>
  <si>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</si>
  <si>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</si>
  <si>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</si>
  <si>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</si>
  <si>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</si>
  <si>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</si>
  <si>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</si>
  <si>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</si>
  <si>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</si>
  <si>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</si>
  <si>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</si>
  <si>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</si>
  <si>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</si>
  <si>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</si>
  <si>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</si>
  <si>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</si>
  <si>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</si>
  <si>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</si>
  <si>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</si>
  <si>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</si>
  <si>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</si>
  <si>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</si>
  <si>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</si>
  <si>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</si>
  <si>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</si>
  <si>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</si>
  <si>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</si>
  <si>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</si>
  <si>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</si>
  <si>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</si>
  <si>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</si>
  <si>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</si>
  <si>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</si>
  <si>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</si>
  <si>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</si>
  <si>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</si>
  <si>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</si>
  <si>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</si>
  <si>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</si>
  <si>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</si>
  <si>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</si>
  <si>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</si>
  <si>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</si>
  <si>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</si>
  <si>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</si>
  <si>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</si>
  <si>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</si>
  <si>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</si>
  <si>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</si>
  <si>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</si>
  <si>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</si>
  <si>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</si>
  <si>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</si>
  <si>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</si>
  <si>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</si>
  <si>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</si>
  <si>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</si>
  <si>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</si>
  <si>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</si>
  <si>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</si>
  <si>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</si>
  <si>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</si>
  <si>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</si>
  <si>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</si>
  <si>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</si>
  <si>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</si>
  <si>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</si>
  <si>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</si>
  <si>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</si>
  <si>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</si>
  <si>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</si>
  <si>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</si>
  <si>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</si>
  <si>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</si>
  <si>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</si>
  <si>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</si>
  <si>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</si>
  <si>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</si>
  <si>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</si>
  <si>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</si>
  <si>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</si>
  <si>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</si>
  <si>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</si>
  <si>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</si>
  <si>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</si>
  <si>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</si>
  <si>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</si>
  <si>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</si>
  <si>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</si>
  <si>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</si>
  <si>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</si>
  <si>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</si>
  <si>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</si>
  <si>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</si>
  <si>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</si>
  <si>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</si>
  <si>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</si>
  <si>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</si>
  <si>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</si>
  <si>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</si>
  <si>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</si>
  <si>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</si>
  <si>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</si>
  <si>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</si>
  <si>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</si>
  <si>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</si>
  <si>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</si>
  <si>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</si>
  <si>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</si>
  <si>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</si>
  <si>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</si>
  <si>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</si>
  <si>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</si>
  <si>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</si>
  <si>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</si>
  <si>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</si>
  <si>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</si>
  <si>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</si>
  <si>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</si>
  <si>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</si>
  <si>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</si>
  <si>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</si>
  <si>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</si>
  <si>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</si>
  <si>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</si>
  <si>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</si>
  <si>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</si>
  <si>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</si>
  <si>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</si>
  <si>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</si>
  <si>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</si>
  <si>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</si>
  <si>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</si>
  <si>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</si>
  <si>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</si>
  <si>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</si>
  <si>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</si>
  <si>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</si>
  <si>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</si>
  <si>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</si>
  <si>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</si>
  <si>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</si>
  <si>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</si>
  <si>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</si>
  <si>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</si>
  <si>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</si>
  <si>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</si>
  <si>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</si>
  <si>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</si>
  <si>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</si>
  <si>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</si>
  <si>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</si>
  <si>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</si>
  <si>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</si>
  <si>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</si>
  <si>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</si>
  <si>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</si>
  <si>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</si>
  <si>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</si>
  <si>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</si>
  <si>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</si>
  <si>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</si>
  <si>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</si>
  <si>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</si>
  <si>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</si>
  <si>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</si>
  <si>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</si>
  <si>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</si>
  <si>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</si>
  <si>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</si>
  <si>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</si>
  <si>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</si>
  <si>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</si>
  <si>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</si>
  <si>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</si>
  <si>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</si>
  <si>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</si>
  <si>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</si>
  <si>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</si>
  <si>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</si>
  <si>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</si>
  <si>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</si>
  <si>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</si>
  <si>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</si>
  <si>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</si>
  <si>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</si>
  <si>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</si>
  <si>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</si>
  <si>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</si>
  <si>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</si>
  <si>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</si>
  <si>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</si>
  <si>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</si>
  <si>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</si>
  <si>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</si>
  <si>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</si>
  <si>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</si>
  <si>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</si>
  <si>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</si>
  <si>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</si>
  <si>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</si>
  <si>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</si>
  <si>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</si>
  <si>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</si>
  <si>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</si>
  <si>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</si>
  <si>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</si>
  <si>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</si>
  <si>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</si>
  <si>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</si>
  <si>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</si>
  <si>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</si>
  <si>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</si>
  <si>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</si>
  <si>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</si>
  <si>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</si>
  <si>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</si>
  <si>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</si>
  <si>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</si>
  <si>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</si>
  <si>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</si>
  <si>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</si>
  <si>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</si>
  <si>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</si>
  <si>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</si>
  <si>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</si>
  <si>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</si>
  <si>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</si>
  <si>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</si>
  <si>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</si>
  <si>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</si>
  <si>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</si>
  <si>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</si>
  <si>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</si>
  <si>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</si>
  <si>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</si>
  <si>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</si>
  <si>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</si>
  <si>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</si>
  <si>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</si>
  <si>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</si>
  <si>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</si>
  <si>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</si>
  <si>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</si>
  <si>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</si>
  <si>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</si>
  <si>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</si>
  <si>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</si>
  <si>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</si>
  <si>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</si>
  <si>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</si>
  <si>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</si>
  <si>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</si>
  <si>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</si>
  <si>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</si>
  <si>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</si>
  <si>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</si>
  <si>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</si>
  <si>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</si>
  <si>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</si>
  <si>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</si>
  <si>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</si>
  <si>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</si>
  <si>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</si>
  <si>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</si>
  <si>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</si>
  <si>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</si>
  <si>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</si>
  <si>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</si>
  <si>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</si>
  <si>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</si>
  <si>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</si>
  <si>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</si>
  <si>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</si>
  <si>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</si>
  <si>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</si>
  <si>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</si>
  <si>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</si>
  <si>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</si>
  <si>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</si>
  <si>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</si>
  <si>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</si>
  <si>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</si>
  <si>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</si>
  <si>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</si>
  <si>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</si>
  <si>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</si>
  <si>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</si>
  <si>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</si>
  <si>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</si>
  <si>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</si>
  <si>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</si>
  <si>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</si>
  <si>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</si>
  <si>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</si>
  <si>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</si>
  <si>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</si>
  <si>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</si>
  <si>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</si>
  <si>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</si>
  <si>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</si>
  <si>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</si>
  <si>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</si>
  <si>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</si>
  <si>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</si>
  <si>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</si>
  <si>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</si>
  <si>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</si>
  <si>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</si>
  <si>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</si>
  <si>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</si>
  <si>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</si>
  <si>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</si>
  <si>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</si>
  <si>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</si>
  <si>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</si>
  <si>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</si>
  <si>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</si>
  <si>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</si>
  <si>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</si>
  <si>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</si>
  <si>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</si>
  <si>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</si>
  <si>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</si>
  <si>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</si>
  <si>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</si>
  <si>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</si>
  <si>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</si>
  <si>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</si>
  <si>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</si>
  <si>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</si>
  <si>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</si>
  <si>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</si>
  <si>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</si>
  <si>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</si>
  <si>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</si>
  <si>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</si>
  <si>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</si>
  <si>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</si>
  <si>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</si>
  <si>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</si>
  <si>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</si>
  <si>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</si>
  <si>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</si>
  <si>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</si>
  <si>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</si>
  <si>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</si>
  <si>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</si>
  <si>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</si>
  <si>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</si>
  <si>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</si>
  <si>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</si>
  <si>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</si>
  <si>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</si>
  <si>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</si>
  <si>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</si>
  <si>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</si>
  <si>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</si>
  <si>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</si>
  <si>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</si>
  <si>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</si>
  <si>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</si>
  <si>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</si>
  <si>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</si>
  <si>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</si>
  <si>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</si>
  <si>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</si>
  <si>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</si>
  <si>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</si>
  <si>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</si>
  <si>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</si>
  <si>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</si>
  <si>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</si>
  <si>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</si>
  <si>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</si>
  <si>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</si>
  <si>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</si>
  <si>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</si>
  <si>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</si>
  <si>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</si>
  <si>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</si>
  <si>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</si>
  <si>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</si>
  <si>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</si>
  <si>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</si>
  <si>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</si>
  <si>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</si>
  <si>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</si>
  <si>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</si>
  <si>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</si>
  <si>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</si>
  <si>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</si>
  <si>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</si>
  <si>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</si>
  <si>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</si>
  <si>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</si>
  <si>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</si>
  <si>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</si>
  <si>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</si>
  <si>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</si>
  <si>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</si>
  <si>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</si>
  <si>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</si>
  <si>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</si>
  <si>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</si>
  <si>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</si>
  <si>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</si>
  <si>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</si>
  <si>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</si>
  <si>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</si>
  <si>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</si>
  <si>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</si>
  <si>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</si>
  <si>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</si>
  <si>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</si>
  <si>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</si>
  <si>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</si>
  <si>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</si>
  <si>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</si>
  <si>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</si>
  <si>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</si>
  <si>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</si>
  <si>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</si>
  <si>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</si>
  <si>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</si>
  <si>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</si>
  <si>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</si>
  <si>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</si>
  <si>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</si>
  <si>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</si>
  <si>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</si>
  <si>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</si>
  <si>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</si>
  <si>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</si>
  <si>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</si>
  <si>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</si>
  <si>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</si>
  <si>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</si>
  <si>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</si>
  <si>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</si>
  <si>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</si>
  <si>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</si>
  <si>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</si>
  <si>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</si>
  <si>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</si>
  <si>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</si>
  <si>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</si>
  <si>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</si>
  <si>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</si>
  <si>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</si>
  <si>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</si>
  <si>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</si>
  <si>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</si>
  <si>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</si>
  <si>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</si>
  <si>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</si>
  <si>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</si>
  <si>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</si>
  <si>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</si>
  <si>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</si>
  <si>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</si>
  <si>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</si>
  <si>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</si>
  <si>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</si>
  <si>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</si>
  <si>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</si>
  <si>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</si>
  <si>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</si>
  <si>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</si>
  <si>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</si>
  <si>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</si>
  <si>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</si>
  <si>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</si>
  <si>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</si>
  <si>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</si>
  <si>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</si>
  <si>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</si>
  <si>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</si>
  <si>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</si>
  <si>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</si>
  <si>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</si>
  <si>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</si>
  <si>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</si>
  <si>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</si>
  <si>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</si>
  <si>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</si>
  <si>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</si>
  <si>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</si>
  <si>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</si>
  <si>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</si>
  <si>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</si>
  <si>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</si>
  <si>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</si>
  <si>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</si>
  <si>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</si>
  <si>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</si>
  <si>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</si>
  <si>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</si>
  <si>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</si>
  <si>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</si>
  <si>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</si>
  <si>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</si>
  <si>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</si>
  <si>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</si>
  <si>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</si>
  <si>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</si>
  <si>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</si>
  <si>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</si>
  <si>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</si>
  <si>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</si>
  <si>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</si>
  <si>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</si>
  <si>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</si>
  <si>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</si>
  <si>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</si>
  <si>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</si>
  <si>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</si>
  <si>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</si>
  <si>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</si>
  <si>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</si>
  <si>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</si>
  <si>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</si>
  <si>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</si>
  <si>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</si>
  <si>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</si>
  <si>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</si>
  <si>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</si>
  <si>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</si>
  <si>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</si>
  <si>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</si>
  <si>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</si>
  <si>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</si>
  <si>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</si>
  <si>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</si>
  <si>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</si>
  <si>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</si>
  <si>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</si>
  <si>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</si>
  <si>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</si>
  <si>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</si>
  <si>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</si>
  <si>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</si>
  <si>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</si>
  <si>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</si>
  <si>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</si>
  <si>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</si>
  <si>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</si>
  <si>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</si>
  <si>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</si>
  <si>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</si>
  <si>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</si>
  <si>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</si>
  <si>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</si>
  <si>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</si>
  <si>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</si>
  <si>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</si>
  <si>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</si>
  <si>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</si>
  <si>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</si>
  <si>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</si>
  <si>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</si>
  <si>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</si>
  <si>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</si>
  <si>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</si>
  <si>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</si>
  <si>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</si>
  <si>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</si>
  <si>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</si>
  <si>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</si>
  <si>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</si>
  <si>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</si>
  <si>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</si>
  <si>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</si>
  <si>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</si>
  <si>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</si>
  <si>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</si>
  <si>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</si>
  <si>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</si>
  <si>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</si>
  <si>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</si>
  <si>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</si>
  <si>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</si>
  <si>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</si>
  <si>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</si>
  <si>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</si>
  <si>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</si>
  <si>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</si>
  <si>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</si>
  <si>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</si>
  <si>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</si>
  <si>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</si>
  <si>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</si>
  <si>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</si>
  <si>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</si>
  <si>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</si>
  <si>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</si>
  <si>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</si>
  <si>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</si>
  <si>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</si>
  <si>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</si>
  <si>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</si>
  <si>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</si>
  <si>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</si>
  <si>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</si>
  <si>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</si>
  <si>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</si>
  <si>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</si>
  <si>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</si>
  <si>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</si>
  <si>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</si>
  <si>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</si>
  <si>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</si>
  <si>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</si>
  <si>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</si>
  <si>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</si>
  <si>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</si>
  <si>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</si>
  <si>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</si>
  <si>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</si>
  <si>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</si>
  <si>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</si>
  <si>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</si>
  <si>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</si>
  <si>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</si>
  <si>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</si>
  <si>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</si>
  <si>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</si>
  <si>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</si>
  <si>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</si>
  <si>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</si>
  <si>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</si>
  <si>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</si>
  <si>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</si>
  <si>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</si>
  <si>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</si>
  <si>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</si>
  <si>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</si>
  <si>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</si>
  <si>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</si>
  <si>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</si>
  <si>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</si>
  <si>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</si>
  <si>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</si>
  <si>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</si>
  <si>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</si>
  <si>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</si>
  <si>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</si>
  <si>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</si>
  <si>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</si>
  <si>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</si>
  <si>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</si>
  <si>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</si>
  <si>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</si>
  <si>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</si>
  <si>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</si>
  <si>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</si>
  <si>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</si>
  <si>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</si>
  <si>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</si>
  <si>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</si>
  <si>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</si>
  <si>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</si>
  <si>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</si>
  <si>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</si>
  <si>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</si>
  <si>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</si>
  <si>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</si>
  <si>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</si>
  <si>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</si>
  <si>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</si>
  <si>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</si>
  <si>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</si>
  <si>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</si>
  <si>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</si>
  <si>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</si>
  <si>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</si>
  <si>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</si>
  <si>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</si>
  <si>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</si>
  <si>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</si>
  <si>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</si>
  <si>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</si>
  <si>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</si>
  <si>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</si>
  <si>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</si>
  <si>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</si>
  <si>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</si>
  <si>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</si>
  <si>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</si>
  <si>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</si>
  <si>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</si>
  <si>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</si>
  <si>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</si>
  <si>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</si>
  <si>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</si>
  <si>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</si>
  <si>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</si>
  <si>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</si>
  <si>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</si>
  <si>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</si>
  <si>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</si>
  <si>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</si>
  <si>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</si>
  <si>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</si>
  <si>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</si>
  <si>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</si>
  <si>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</si>
  <si>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</si>
  <si>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</si>
  <si>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</si>
  <si>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</si>
  <si>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</si>
  <si>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</si>
  <si>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</si>
  <si>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</si>
  <si>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</si>
  <si>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</si>
  <si>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</si>
  <si>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</si>
  <si>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</si>
  <si>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</si>
  <si>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</si>
  <si>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</si>
  <si>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</si>
  <si>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</si>
  <si>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</si>
  <si>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</si>
  <si>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</si>
  <si>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</si>
  <si>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</si>
  <si>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</si>
  <si>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</si>
  <si>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</si>
  <si>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</si>
  <si>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</si>
  <si>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</si>
  <si>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</si>
  <si>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</si>
  <si>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</si>
  <si>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</si>
  <si>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</si>
  <si>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</si>
  <si>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</si>
  <si>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</si>
  <si>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</si>
  <si>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</si>
  <si>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</si>
  <si>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</si>
  <si>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</si>
  <si>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</si>
  <si>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</si>
  <si>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</si>
  <si>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</si>
  <si>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</si>
  <si>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</si>
  <si>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</si>
  <si>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</si>
  <si>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</si>
  <si>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</si>
  <si>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</si>
  <si>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</si>
  <si>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</si>
  <si>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</si>
  <si>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</si>
  <si>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</si>
  <si>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</si>
  <si>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</si>
  <si>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</si>
  <si>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</si>
  <si>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</si>
  <si>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</si>
  <si>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</si>
  <si>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</si>
  <si>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</si>
  <si>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</si>
  <si>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</si>
  <si>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</si>
  <si>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</si>
  <si>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</si>
  <si>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</si>
  <si>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</si>
  <si>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</si>
  <si>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</si>
  <si>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</si>
  <si>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</si>
  <si>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</si>
  <si>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</si>
  <si>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</si>
  <si>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</si>
  <si>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</si>
  <si>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</si>
  <si>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</si>
  <si>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</si>
  <si>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</si>
  <si>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</si>
  <si>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</si>
  <si>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</si>
  <si>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</si>
  <si>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</si>
  <si>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</si>
  <si>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</si>
  <si>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</si>
  <si>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</si>
  <si>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</si>
  <si>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</si>
  <si>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</si>
  <si>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</si>
  <si>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</si>
  <si>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</si>
  <si>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</si>
  <si>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</si>
  <si>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</si>
  <si>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</si>
  <si>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</si>
  <si>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</si>
  <si>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</si>
  <si>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</si>
  <si>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</si>
  <si>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</si>
  <si>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</si>
  <si>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</si>
  <si>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</si>
  <si>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</si>
  <si>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</si>
  <si>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</si>
  <si>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</si>
  <si>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</si>
  <si>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</si>
  <si>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</si>
  <si>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</si>
  <si>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</si>
  <si>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</si>
  <si>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</si>
  <si>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</si>
  <si>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</si>
  <si>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</si>
  <si>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</si>
  <si>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</si>
  <si>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</si>
  <si>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</si>
  <si>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</si>
  <si>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</si>
  <si>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</si>
  <si>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</si>
  <si>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</si>
  <si>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</si>
  <si>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</si>
  <si>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</si>
  <si>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</si>
  <si>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</si>
  <si>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</si>
  <si>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</si>
  <si>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</si>
  <si>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</si>
  <si>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</si>
  <si>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</si>
  <si>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</si>
  <si>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</si>
  <si>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</si>
  <si>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</si>
  <si>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</si>
  <si>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</si>
  <si>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</si>
  <si>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</si>
  <si>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</si>
  <si>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</si>
  <si>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</si>
  <si>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</si>
  <si>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</si>
  <si>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</si>
  <si>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</si>
  <si>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</si>
  <si>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</si>
  <si>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</si>
  <si>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</si>
  <si>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</si>
  <si>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</si>
  <si>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</si>
  <si>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</si>
  <si>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</si>
  <si>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</si>
  <si>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</si>
  <si>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</si>
  <si>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</si>
  <si>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</si>
  <si>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</si>
  <si>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</si>
  <si>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</si>
  <si>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</si>
  <si>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</si>
  <si>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</si>
  <si>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</si>
  <si>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</si>
  <si>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</si>
  <si>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</si>
  <si>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</si>
  <si>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</si>
  <si>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</si>
  <si>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</si>
  <si>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</si>
  <si>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</si>
  <si>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</si>
  <si>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</si>
  <si>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</si>
  <si>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</si>
  <si>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</si>
  <si>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</si>
  <si>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</si>
  <si>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</si>
  <si>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</si>
  <si>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</si>
  <si>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</si>
  <si>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</si>
  <si>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</si>
  <si>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</si>
  <si>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</si>
  <si>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</si>
  <si>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</si>
  <si>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</si>
  <si>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</si>
  <si>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</si>
  <si>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</si>
  <si>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</si>
  <si>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</si>
  <si>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</si>
  <si>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</si>
  <si>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</si>
  <si>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</si>
  <si>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</si>
  <si>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</si>
  <si>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</si>
  <si>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</si>
  <si>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</si>
  <si>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</si>
  <si>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</si>
  <si>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</si>
  <si>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</si>
  <si>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</si>
  <si>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</si>
  <si>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</si>
  <si>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</si>
  <si>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</si>
  <si>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</si>
  <si>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</si>
  <si>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</si>
  <si>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</si>
  <si>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</si>
  <si>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</si>
  <si>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</si>
  <si>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</si>
  <si>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</si>
  <si>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</si>
  <si>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</si>
  <si>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</si>
  <si>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</si>
  <si>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</si>
  <si>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</si>
  <si>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</si>
  <si>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</si>
  <si>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</si>
  <si>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</si>
  <si>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</si>
  <si>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</si>
  <si>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</si>
  <si>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</si>
  <si>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</si>
  <si>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</si>
  <si>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</si>
  <si>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</si>
  <si>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</si>
  <si>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</si>
  <si>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</si>
  <si>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</si>
  <si>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</si>
  <si>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</si>
  <si>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</si>
  <si>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</si>
  <si>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</si>
  <si>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</si>
  <si>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</si>
  <si>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</si>
  <si>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</si>
  <si>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</si>
  <si>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</si>
  <si>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</si>
  <si>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</si>
  <si>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</si>
  <si>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</si>
  <si>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</si>
  <si>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</si>
  <si>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</si>
  <si>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</si>
  <si>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</si>
  <si>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</si>
  <si>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</si>
  <si>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</si>
  <si>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</si>
  <si>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</si>
  <si>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</si>
  <si>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</si>
  <si>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</si>
  <si>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</si>
  <si>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</si>
  <si>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</si>
  <si>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</si>
  <si>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</si>
  <si>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</si>
  <si>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</si>
  <si>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</si>
  <si>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</si>
  <si>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</si>
  <si>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</si>
  <si>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</si>
  <si>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</si>
  <si>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</si>
  <si>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</si>
  <si>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</si>
  <si>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</si>
  <si>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</si>
  <si>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</si>
  <si>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</si>
  <si>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</si>
  <si>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</si>
  <si>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</si>
  <si>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</si>
  <si>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</si>
  <si>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</si>
  <si>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</si>
  <si>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</si>
  <si>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</si>
  <si>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</si>
  <si>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</si>
  <si>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</si>
  <si>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</si>
  <si>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</si>
  <si>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</si>
  <si>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</si>
  <si>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</si>
  <si>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</si>
  <si>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</si>
  <si>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</si>
  <si>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</si>
  <si>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</si>
  <si>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</si>
  <si>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</si>
  <si>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</si>
  <si>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</si>
  <si>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</si>
  <si>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</si>
  <si>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</si>
  <si>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</si>
  <si>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</si>
  <si>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</si>
  <si>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</si>
  <si>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</si>
  <si>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</si>
  <si>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</si>
  <si>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</si>
  <si>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</si>
  <si>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</si>
  <si>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</si>
  <si>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</si>
  <si>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</si>
  <si>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</si>
  <si>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</si>
  <si>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</si>
  <si>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</si>
  <si>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</si>
  <si>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</si>
  <si>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</si>
  <si>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</si>
  <si>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</si>
  <si>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</si>
  <si>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</si>
  <si>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</si>
  <si>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</si>
  <si>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</si>
  <si>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</si>
  <si>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</si>
  <si>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</si>
  <si>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</si>
  <si>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</si>
  <si>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</si>
  <si>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</si>
  <si>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</si>
  <si>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</si>
  <si>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</si>
  <si>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</si>
  <si>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</si>
  <si>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</si>
  <si>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</si>
  <si>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</si>
  <si>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</si>
  <si>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</si>
  <si>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</si>
  <si>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</si>
  <si>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</si>
  <si>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</si>
  <si>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</si>
  <si>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</si>
  <si>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</si>
  <si>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</si>
  <si>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</si>
  <si>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</si>
  <si>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</si>
  <si>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</si>
  <si>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</si>
  <si>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</si>
  <si>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</si>
  <si>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</si>
  <si>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</si>
  <si>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</si>
  <si>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</si>
  <si>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</si>
  <si>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</si>
  <si>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</si>
  <si>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</si>
  <si>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</si>
  <si>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</si>
  <si>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</si>
  <si>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</si>
  <si>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</si>
  <si>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</si>
  <si>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</si>
  <si>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</si>
  <si>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</si>
  <si>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</si>
  <si>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</si>
  <si>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</si>
  <si>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</si>
  <si>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</si>
  <si>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</si>
  <si>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</si>
  <si>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</si>
  <si>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</si>
  <si>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</si>
  <si>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</si>
  <si>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</si>
  <si>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</si>
  <si>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</si>
  <si>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</si>
  <si>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</si>
  <si>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</si>
  <si>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</si>
  <si>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</si>
  <si>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</si>
  <si>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</si>
  <si>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</si>
  <si>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</si>
  <si>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</si>
  <si>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</si>
  <si>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</si>
  <si>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</si>
  <si>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</si>
  <si>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</si>
  <si>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</si>
  <si>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</si>
  <si>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</si>
  <si>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</si>
  <si>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</si>
  <si>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</si>
  <si>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</si>
  <si>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</si>
  <si>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</si>
  <si>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</si>
  <si>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</si>
  <si>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</si>
  <si>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</si>
  <si>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</si>
  <si>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</si>
  <si>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</si>
  <si>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</si>
  <si>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</si>
  <si>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</si>
  <si>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</si>
  <si>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</si>
  <si>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</si>
  <si>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</si>
  <si>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</si>
  <si>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</si>
  <si>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</si>
  <si>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</si>
  <si>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</si>
  <si>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</si>
  <si>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</si>
  <si>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</si>
  <si>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</si>
  <si>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</si>
  <si>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</si>
  <si>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</si>
  <si>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</si>
  <si>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</si>
  <si>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</si>
  <si>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</si>
  <si>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</si>
  <si>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</si>
  <si>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</si>
  <si>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</si>
  <si>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</si>
  <si>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</si>
  <si>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</si>
  <si>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</si>
  <si>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</si>
  <si>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</si>
  <si>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</si>
  <si>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</si>
  <si>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</si>
  <si>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</si>
  <si>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</si>
  <si>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</si>
  <si>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</si>
  <si>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</si>
  <si>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</si>
  <si>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</si>
  <si>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</si>
  <si>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</si>
  <si>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</si>
  <si>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</si>
  <si>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</si>
  <si>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</si>
  <si>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</si>
  <si>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</si>
  <si>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</si>
  <si>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</si>
  <si>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</si>
  <si>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</si>
  <si>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</si>
  <si>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</si>
  <si>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</si>
  <si>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</si>
  <si>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</si>
  <si>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</si>
  <si>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</si>
  <si>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</si>
  <si>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</si>
  <si>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</si>
  <si>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</si>
  <si>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</si>
  <si>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</si>
  <si>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</si>
  <si>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</si>
  <si>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</si>
  <si>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</si>
  <si>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</si>
  <si>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</si>
  <si>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</si>
  <si>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</si>
  <si>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</si>
  <si>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</si>
  <si>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</si>
  <si>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</si>
  <si>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</si>
  <si>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</si>
  <si>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</si>
  <si>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</si>
  <si>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</si>
  <si>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</si>
  <si>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</si>
  <si>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</si>
  <si>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</si>
  <si>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</si>
  <si>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</si>
  <si>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</si>
  <si>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</si>
  <si>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</si>
  <si>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</si>
  <si>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</si>
  <si>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</si>
  <si>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</si>
  <si>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</si>
  <si>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</si>
  <si>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</si>
  <si>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</si>
  <si>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</si>
  <si>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</si>
  <si>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</si>
  <si>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</si>
  <si>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</si>
  <si>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</si>
  <si>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</si>
  <si>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</si>
  <si>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</si>
  <si>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</si>
  <si>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</si>
  <si>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</si>
  <si>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</si>
  <si>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</si>
  <si>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</si>
  <si>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</si>
  <si>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</si>
  <si>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</si>
  <si>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</si>
  <si>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</si>
  <si>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</si>
  <si>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</si>
  <si>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</si>
  <si>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</si>
  <si>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</si>
  <si>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</si>
  <si>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</si>
  <si>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</si>
  <si>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</si>
  <si>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</si>
  <si>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</si>
  <si>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</si>
  <si>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</si>
  <si>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</si>
  <si>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</si>
  <si>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</si>
  <si>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</si>
  <si>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</si>
  <si>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</si>
  <si>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</si>
  <si>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</si>
  <si>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</si>
  <si>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</si>
  <si>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</si>
  <si>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</si>
  <si>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</si>
  <si>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</si>
  <si>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</si>
  <si>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</si>
  <si>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</si>
  <si>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</si>
  <si>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</si>
  <si>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</si>
  <si>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</si>
  <si>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</si>
  <si>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</si>
  <si>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</si>
  <si>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</si>
  <si>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</si>
  <si>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</si>
  <si>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</si>
  <si>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</si>
  <si>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</si>
  <si>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</si>
  <si>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</si>
  <si>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</si>
  <si>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</si>
  <si>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</si>
  <si>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</si>
  <si>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</si>
  <si>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</si>
  <si>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</si>
  <si>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</si>
  <si>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</si>
  <si>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</si>
  <si>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</si>
  <si>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</si>
  <si>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</si>
  <si>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</si>
  <si>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</si>
  <si>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</si>
  <si>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</si>
  <si>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</si>
  <si>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</si>
  <si>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</si>
  <si>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</si>
  <si>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</si>
  <si>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</si>
  <si>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</si>
  <si>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</si>
  <si>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</si>
  <si>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</si>
  <si>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</si>
  <si>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</si>
  <si>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</si>
  <si>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</si>
  <si>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</si>
  <si>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</si>
  <si>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</si>
  <si>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</si>
  <si>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</si>
  <si>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</si>
  <si>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</si>
  <si>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</si>
  <si>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</si>
  <si>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</si>
  <si>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</si>
  <si>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</si>
  <si>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</si>
  <si>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</si>
  <si>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</si>
  <si>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</si>
  <si>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</si>
  <si>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</si>
  <si>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</si>
  <si>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</si>
  <si>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</si>
  <si>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</si>
  <si>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</si>
  <si>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</si>
  <si>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</si>
  <si>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</si>
  <si>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</si>
  <si>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</si>
  <si>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</si>
  <si>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</si>
  <si>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</si>
  <si>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</si>
  <si>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</si>
  <si>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</si>
  <si>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</si>
  <si>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</si>
  <si>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</si>
  <si>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</si>
  <si>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</si>
  <si>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</si>
  <si>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</si>
  <si>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</si>
  <si>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</si>
  <si>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</si>
  <si>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</si>
  <si>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</si>
  <si>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</si>
  <si>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</si>
  <si>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</si>
  <si>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</si>
  <si>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</si>
  <si>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</si>
  <si>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</si>
  <si>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</si>
  <si>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</si>
  <si>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</si>
  <si>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</si>
  <si>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</si>
  <si>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</si>
  <si>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</si>
  <si>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</si>
  <si>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</si>
  <si>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</si>
  <si>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</si>
  <si>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</si>
  <si>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</si>
  <si>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</si>
  <si>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</si>
  <si>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</si>
  <si>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</si>
  <si>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</si>
  <si>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</si>
  <si>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</si>
  <si>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</si>
  <si>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</si>
  <si>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</si>
  <si>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</si>
  <si>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</si>
  <si>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</si>
  <si>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</si>
  <si>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</si>
  <si>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</si>
  <si>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</si>
  <si>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</si>
  <si>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</si>
  <si>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</si>
  <si>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</si>
  <si>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</si>
  <si>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</si>
  <si>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</si>
  <si>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</si>
  <si>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</si>
  <si>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</si>
  <si>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</si>
  <si>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</si>
  <si>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</si>
  <si>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</si>
  <si>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</si>
  <si>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</si>
  <si>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</si>
  <si>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</si>
  <si>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</si>
  <si>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</si>
  <si>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</si>
  <si>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</si>
  <si>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</si>
  <si>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</si>
  <si>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</si>
  <si>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</si>
  <si>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</si>
  <si>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</si>
  <si>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</si>
  <si>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</si>
  <si>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</si>
  <si>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</si>
  <si>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</si>
  <si>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</si>
  <si>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</si>
  <si>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</si>
  <si>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</si>
  <si>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</si>
  <si>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</si>
  <si>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</si>
  <si>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</si>
  <si>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</si>
  <si>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</si>
  <si>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</si>
  <si>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</si>
  <si>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</si>
  <si>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</si>
  <si>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</si>
  <si>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</si>
  <si>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</si>
  <si>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</si>
  <si>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</si>
  <si>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</si>
  <si>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</si>
  <si>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</si>
  <si>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</si>
  <si>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</si>
  <si>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</si>
  <si>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</si>
  <si>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</si>
  <si>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</si>
  <si>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</si>
  <si>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</si>
  <si>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</si>
  <si>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</si>
  <si>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</si>
  <si>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</si>
  <si>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</si>
  <si>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</si>
  <si>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</si>
  <si>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</si>
  <si>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</si>
  <si>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</si>
  <si>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</si>
  <si>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</si>
  <si>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</si>
  <si>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</si>
  <si>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</si>
  <si>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</si>
  <si>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</si>
  <si>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</si>
  <si>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</si>
  <si>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</si>
  <si>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</si>
  <si>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</si>
  <si>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</si>
  <si>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</si>
  <si>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</si>
  <si>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</si>
  <si>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</si>
  <si>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</si>
  <si>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</si>
  <si>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</si>
  <si>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</si>
  <si>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</si>
  <si>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</si>
  <si>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</si>
  <si>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</si>
  <si>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</si>
  <si>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</si>
  <si>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</si>
  <si>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</si>
  <si>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</si>
  <si>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</si>
  <si>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</si>
  <si>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</si>
  <si>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</si>
  <si>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</si>
  <si>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</si>
  <si>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</si>
  <si>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</si>
  <si>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</si>
  <si>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</si>
  <si>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</si>
  <si>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</si>
  <si>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</si>
  <si>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</si>
  <si>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</si>
  <si>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</si>
  <si>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</si>
  <si>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</si>
  <si>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</si>
  <si>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</si>
  <si>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</si>
  <si>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</si>
  <si>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</si>
  <si>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</si>
  <si>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</si>
  <si>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</si>
  <si>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</si>
  <si>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</si>
  <si>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</si>
  <si>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</si>
  <si>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</si>
  <si>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</si>
  <si>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</si>
  <si>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</si>
  <si>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</si>
  <si>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</si>
  <si>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</si>
  <si>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</si>
  <si>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</si>
  <si>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</si>
  <si>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</si>
  <si>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</si>
  <si>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</si>
  <si>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</si>
  <si>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</si>
  <si>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</si>
  <si>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</si>
  <si>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</si>
  <si>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</si>
  <si>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</si>
  <si>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</si>
  <si>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</si>
  <si>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</si>
  <si>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</si>
  <si>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</si>
  <si>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</si>
  <si>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</si>
  <si>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</si>
  <si>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</si>
  <si>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</si>
  <si>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</si>
  <si>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</si>
  <si>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</si>
  <si>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</si>
  <si>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</si>
  <si>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</si>
  <si>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</si>
  <si>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</si>
  <si>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</si>
  <si>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</si>
  <si>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</si>
  <si>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</si>
  <si>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</si>
  <si>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</si>
  <si>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</si>
  <si>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</si>
  <si>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</si>
  <si>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</si>
  <si>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</si>
  <si>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</si>
  <si>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</si>
  <si>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</si>
  <si>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</si>
  <si>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</si>
  <si>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</si>
  <si>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</si>
  <si>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</si>
  <si>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</si>
  <si>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</si>
  <si>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</si>
  <si>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</si>
  <si>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</si>
  <si>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</si>
  <si>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</si>
  <si>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</si>
  <si>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</si>
  <si>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</si>
  <si>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</si>
  <si>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</si>
  <si>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</si>
  <si>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</si>
  <si>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</si>
  <si>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</si>
  <si>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</si>
  <si>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</si>
  <si>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</si>
  <si>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</si>
  <si>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</si>
  <si>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</si>
  <si>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</si>
  <si>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</si>
  <si>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</si>
  <si>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</si>
  <si>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</si>
  <si>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</si>
  <si>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</si>
  <si>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</si>
  <si>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</si>
  <si>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</si>
  <si>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</si>
  <si>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</si>
  <si>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</si>
  <si>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</si>
  <si>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</si>
  <si>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</si>
  <si>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</si>
  <si>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</si>
  <si>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</si>
  <si>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</si>
  <si>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</si>
  <si>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</si>
  <si>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</si>
  <si>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</si>
  <si>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</si>
  <si>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</si>
  <si>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</si>
  <si>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</si>
  <si>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</si>
  <si>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</si>
  <si>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</si>
  <si>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</si>
  <si>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</si>
  <si>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</si>
  <si>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</si>
  <si>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</si>
  <si>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</si>
  <si>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</si>
  <si>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</si>
  <si>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</si>
  <si>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</si>
  <si>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</si>
  <si>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</si>
  <si>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</si>
  <si>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</si>
  <si>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</si>
  <si>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</si>
  <si>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</si>
  <si>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</si>
  <si>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</si>
  <si>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</si>
  <si>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</si>
  <si>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</si>
  <si>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</si>
  <si>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</si>
  <si>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</si>
  <si>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</si>
  <si>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</si>
  <si>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</si>
  <si>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</si>
  <si>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</si>
  <si>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</si>
  <si>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</si>
  <si>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</si>
  <si>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</si>
  <si>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</si>
  <si>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</si>
  <si>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</si>
  <si>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</si>
  <si>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</si>
  <si>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</si>
  <si>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</si>
  <si>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</si>
  <si>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</si>
  <si>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</si>
  <si>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</si>
  <si>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</si>
  <si>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</si>
  <si>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</si>
  <si>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</si>
  <si>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</si>
  <si>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</si>
  <si>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</si>
  <si>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</si>
  <si>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</si>
  <si>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</si>
  <si>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</si>
  <si>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</si>
  <si>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</si>
  <si>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</si>
  <si>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</si>
  <si>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</si>
  <si>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</si>
  <si>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</si>
  <si>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</si>
  <si>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</si>
  <si>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</si>
  <si>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</si>
  <si>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</si>
  <si>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</si>
  <si>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</si>
  <si>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</si>
  <si>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</si>
  <si>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</si>
  <si>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</si>
  <si>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</si>
  <si>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</si>
  <si>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</si>
  <si>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</si>
  <si>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</si>
  <si>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</si>
  <si>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</si>
  <si>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</si>
  <si>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</si>
  <si>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</si>
  <si>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</si>
  <si>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</si>
  <si>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</si>
  <si>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</si>
  <si>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</si>
  <si>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</si>
  <si>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</si>
  <si>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</si>
  <si>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</si>
  <si>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</si>
  <si>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</si>
  <si>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</si>
  <si>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</si>
  <si>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</si>
  <si>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</si>
  <si>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</si>
  <si>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</si>
  <si>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</si>
  <si>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</si>
  <si>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</si>
  <si>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</si>
  <si>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</si>
  <si>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</si>
  <si>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</si>
  <si>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</si>
  <si>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</si>
  <si>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</si>
  <si>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</si>
  <si>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</si>
  <si>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</si>
  <si>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</si>
  <si>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</si>
  <si>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</si>
  <si>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</si>
  <si>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</si>
  <si>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</si>
  <si>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</si>
  <si>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</si>
  <si>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</si>
  <si>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</si>
  <si>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</si>
  <si>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</si>
  <si>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</si>
  <si>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</si>
  <si>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</si>
  <si>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</si>
  <si>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</si>
  <si>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</si>
  <si>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</si>
  <si>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</si>
  <si>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</si>
  <si>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</si>
  <si>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</si>
  <si>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</si>
  <si>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</si>
  <si>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</si>
  <si>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</si>
  <si>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</si>
  <si>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</si>
  <si>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</si>
  <si>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</si>
  <si>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</si>
  <si>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</si>
  <si>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</si>
  <si>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</si>
  <si>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</si>
  <si>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</si>
  <si>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</si>
  <si>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</si>
  <si>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</si>
  <si>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</si>
  <si>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</si>
  <si>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</si>
  <si>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</si>
  <si>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</si>
  <si>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</si>
  <si>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</si>
  <si>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</si>
  <si>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</si>
  <si>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</si>
  <si>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</si>
  <si>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</si>
  <si>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</si>
  <si>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</si>
  <si>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</si>
  <si>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</si>
  <si>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</si>
  <si>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</si>
  <si>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</si>
  <si>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</si>
  <si>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</si>
  <si>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</si>
  <si>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</si>
  <si>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</si>
  <si>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</si>
  <si>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</si>
  <si>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</si>
  <si>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</si>
  <si>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</si>
  <si>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</si>
  <si>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</si>
  <si>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</si>
  <si>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</si>
  <si>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</si>
  <si>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</si>
  <si>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</si>
  <si>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</si>
  <si>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</si>
  <si>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</si>
  <si>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</si>
  <si>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</si>
  <si>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</si>
  <si>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</si>
  <si>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</si>
  <si>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</si>
  <si>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</si>
  <si>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</si>
  <si>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</si>
  <si>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</si>
  <si>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</si>
  <si>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</si>
  <si>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</si>
  <si>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</si>
  <si>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</si>
  <si>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</si>
  <si>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</si>
  <si>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</si>
  <si>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</si>
  <si>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</si>
  <si>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</si>
  <si>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</si>
  <si>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</si>
  <si>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</si>
  <si>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</si>
  <si>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</si>
  <si>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</si>
  <si>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</si>
  <si>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</si>
  <si>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</si>
  <si>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</si>
  <si>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</si>
  <si>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</si>
  <si>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</si>
  <si>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</si>
  <si>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</si>
  <si>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</si>
  <si>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</si>
  <si>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</si>
  <si>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</si>
  <si>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</si>
  <si>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</si>
  <si>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</si>
  <si>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</si>
  <si>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</si>
  <si>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</si>
  <si>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</si>
  <si>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>علي الحساب الجاري رقم / 405033714006  ببنك الأسكندرية فرع اسيوط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</si>
  <si>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</si>
  <si>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</si>
  <si>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</si>
  <si>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ترتيب اولويات الصرف لجنه الائتمان والتمويل المتناهى الصغر المنعقدة في تاريخ</t>
  </si>
  <si>
    <t>مشروع بنك مصر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</si>
</sst>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87"/>
  <sheetViews>
    <sheetView rightToLeft="1" tabSelected="1" view="pageBreakPreview" zoomScale="70" zoomScaleNormal="180" zoomScaleSheetLayoutView="70" workbookViewId="0">
      <pane ySplit="7" topLeftCell="A8" activePane="bottomLeft" state="frozen"/>
      <selection pane="bottomLeft" activeCell="F2" sqref="F2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23" t="s">
        <v>10004</v>
      </c>
      <c r="B1" s="23"/>
      <c r="C1" s="23"/>
      <c r="F1" s="25" t="s">
        <v>10605</v>
      </c>
      <c r="G1" s="23"/>
    </row>
    <row r="2" spans="1:7" x14ac:dyDescent="0.25">
      <c r="A2" s="23" t="s">
        <v>10603</v>
      </c>
      <c r="B2" s="23"/>
      <c r="C2" s="23"/>
    </row>
    <row r="3" spans="1:7" x14ac:dyDescent="0.25">
      <c r="A3" s="25" t="s">
        <v>10599</v>
      </c>
      <c r="B3" s="23"/>
      <c r="C3" s="23"/>
    </row>
    <row r="4" spans="1:7" x14ac:dyDescent="0.25">
      <c r="A4" s="5"/>
    </row>
    <row r="5" spans="1:7" ht="33.75" customHeight="1" x14ac:dyDescent="0.25">
      <c r="A5" s="34" t="s">
        <v>10604</v>
      </c>
      <c r="B5" s="34"/>
      <c r="C5" s="34"/>
      <c r="D5" s="34"/>
      <c r="E5" s="34"/>
      <c r="F5" s="17"/>
      <c r="G5" s="16"/>
    </row>
    <row r="6" spans="1:7" ht="19.5" customHeight="1" x14ac:dyDescent="0.25">
      <c r="A6" s="24" t="s">
        <v>10600</v>
      </c>
      <c r="B6" s="24"/>
      <c r="C6" s="24"/>
      <c r="D6" s="24"/>
      <c r="E6" s="24"/>
      <c r="F6" s="24"/>
      <c r="G6" s="24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32" t="str">
        <f>"اجمالى عدد "&amp;COUNTIF(C8:C47,"*")&amp;" شيك بمبلغ"</f>
        <v>اجمالى عدد 0 شيك بمبلغ</v>
      </c>
      <c r="C48" s="32"/>
      <c r="D48" s="33"/>
      <c r="E48" s="13">
        <f>SUM(E8:E47)</f>
        <v>0</v>
      </c>
      <c r="F48" s="18" t="str">
        <f>NoToTxt(E48,"جنيه","قرش")&amp;" لاغير  "</f>
        <v xml:space="preserve">صفر لاغير  </v>
      </c>
      <c r="G48" s="19"/>
      <c r="H48" s="15">
        <f>COUNTIF(C8:C47,"*")</f>
        <v>0</v>
      </c>
    </row>
    <row r="49" spans="1:7" ht="18" customHeight="1" x14ac:dyDescent="0.25">
      <c r="A49" s="20" t="s">
        <v>10601</v>
      </c>
      <c r="B49" s="20"/>
      <c r="C49" s="20"/>
      <c r="D49" s="20"/>
      <c r="E49" s="20"/>
      <c r="F49" s="20"/>
      <c r="G49" s="20"/>
    </row>
    <row r="50" spans="1:7" ht="32.25" customHeight="1" x14ac:dyDescent="0.25">
      <c r="A50" s="21" t="s">
        <v>10014</v>
      </c>
      <c r="B50" s="22"/>
      <c r="C50" s="22"/>
      <c r="D50" s="22"/>
      <c r="E50" s="22"/>
      <c r="F50" s="22"/>
      <c r="G50" s="22"/>
    </row>
    <row r="51" spans="1:7" ht="18" customHeight="1" x14ac:dyDescent="0.25">
      <c r="A51" s="22"/>
      <c r="B51" s="22"/>
      <c r="C51" s="22"/>
      <c r="D51" s="22"/>
      <c r="E51" s="22"/>
      <c r="F51" s="22"/>
      <c r="G51" s="22"/>
    </row>
    <row r="52" spans="1:7" ht="33.75" customHeight="1" x14ac:dyDescent="0.25">
      <c r="A52" s="30" t="str">
        <f>" تابع "&amp;A5</f>
        <v xml:space="preserve"> تابع حافظة ترتيب اولويات الصرف لجنه الائتمان والتمويل المتناهى الصغر المنعقدة في تاريخ</v>
      </c>
      <c r="B52" s="30"/>
      <c r="C52" s="30"/>
      <c r="D52" s="30"/>
      <c r="E52" s="30"/>
      <c r="F52" s="30"/>
      <c r="G52" s="30"/>
    </row>
    <row r="53" spans="1:7" ht="19.5" customHeight="1" x14ac:dyDescent="0.25">
      <c r="A53" s="29" t="str">
        <f>A6</f>
        <v>علي الحساب الجاري رقم / 405033714006  ببنك الأسكندرية فرع اسيوط</v>
      </c>
      <c r="B53" s="29"/>
      <c r="C53" s="29"/>
      <c r="D53" s="29"/>
      <c r="E53" s="29"/>
      <c r="F53" s="29"/>
      <c r="G53" s="29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26" t="s">
        <v>10012</v>
      </c>
      <c r="B55" s="27"/>
      <c r="C55" s="27"/>
      <c r="D55" s="28"/>
      <c r="E55" s="14">
        <f>E48</f>
        <v>0</v>
      </c>
      <c r="F55" s="18" t="str">
        <f>NoToTxt(E55,"جنيه","قرش")&amp;" لاغير  "</f>
        <v xml:space="preserve">صفر لاغير  </v>
      </c>
      <c r="G55" s="19"/>
    </row>
    <row r="56" spans="1:7" ht="18" customHeight="1" x14ac:dyDescent="0.25">
      <c r="A56" s="3">
        <v>41</v>
      </c>
      <c r="B56" s="3"/>
      <c r="C56" s="10"/>
      <c r="D56" s="11"/>
      <c r="E56" s="3"/>
      <c r="F56" s="11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11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11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11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11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11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11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11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11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11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11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11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11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11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11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11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11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11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11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11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11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11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11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11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11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11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11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11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11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11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11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11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11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11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11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11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11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11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11"/>
      <c r="G95" s="3"/>
    </row>
    <row r="96" spans="1:8" ht="33" customHeight="1" x14ac:dyDescent="0.25">
      <c r="A96" s="31" t="str">
        <f>"اجمالى عدد "&amp;SUM(H48+H96)&amp;" شيك بمبلغ"</f>
        <v>اجمالى عدد 0 شيك بمبلغ</v>
      </c>
      <c r="B96" s="32"/>
      <c r="C96" s="32"/>
      <c r="D96" s="33"/>
      <c r="E96" s="13">
        <f>SUM(E55:E95)</f>
        <v>0</v>
      </c>
      <c r="F96" s="18" t="str">
        <f>NoToTxt(E96,"جنيه","قرش")&amp;" لاغير  "</f>
        <v xml:space="preserve">صفر لاغير  </v>
      </c>
      <c r="G96" s="19"/>
      <c r="H96" s="4">
        <f>COUNTIF(C56:C95,"*")</f>
        <v>0</v>
      </c>
    </row>
    <row r="97" spans="1:7" ht="18" customHeight="1" x14ac:dyDescent="0.25">
      <c r="A97" s="20" t="s">
        <v>10602</v>
      </c>
      <c r="B97" s="20"/>
      <c r="C97" s="20"/>
      <c r="D97" s="20"/>
      <c r="E97" s="20"/>
      <c r="F97" s="20"/>
      <c r="G97" s="20"/>
    </row>
    <row r="98" spans="1:7" ht="32.25" customHeight="1" x14ac:dyDescent="0.25">
      <c r="A98" s="21" t="s">
        <v>10014</v>
      </c>
      <c r="B98" s="22"/>
      <c r="C98" s="22"/>
      <c r="D98" s="22"/>
      <c r="E98" s="22"/>
      <c r="F98" s="22"/>
      <c r="G98" s="22"/>
    </row>
    <row r="99" spans="1:7" ht="18" customHeight="1" x14ac:dyDescent="0.25">
      <c r="A99" s="22"/>
      <c r="B99" s="22"/>
      <c r="C99" s="22"/>
      <c r="D99" s="22"/>
      <c r="E99" s="22"/>
      <c r="F99" s="22"/>
      <c r="G99" s="22"/>
    </row>
    <row r="100" spans="1:7" ht="33.75" customHeight="1" x14ac:dyDescent="0.25">
      <c r="A100" s="30" t="str">
        <f>A52</f>
        <v xml:space="preserve"> تابع حافظة ترتيب اولويات الصرف لجنه الائتمان والتمويل المتناهى الصغر المنعقدة في تاريخ</v>
      </c>
      <c r="B100" s="30"/>
      <c r="C100" s="30"/>
      <c r="D100" s="30"/>
      <c r="E100" s="30"/>
      <c r="F100" s="30"/>
      <c r="G100" s="30"/>
    </row>
    <row r="101" spans="1:7" ht="19.5" customHeight="1" x14ac:dyDescent="0.25">
      <c r="A101" s="29" t="str">
        <f>A53</f>
        <v>علي الحساب الجاري رقم / 405033714006  ببنك الأسكندرية فرع اسيوط</v>
      </c>
      <c r="B101" s="29"/>
      <c r="C101" s="29"/>
      <c r="D101" s="29"/>
      <c r="E101" s="29"/>
      <c r="F101" s="29"/>
      <c r="G101" s="29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26" t="s">
        <v>10015</v>
      </c>
      <c r="B103" s="27"/>
      <c r="C103" s="27"/>
      <c r="D103" s="28"/>
      <c r="E103" s="14">
        <f>E96</f>
        <v>0</v>
      </c>
      <c r="F103" s="18" t="str">
        <f>NoToTxt(E103,"جنيه","قرش")&amp;" لاغير  "</f>
        <v xml:space="preserve">صفر لاغير  </v>
      </c>
      <c r="G103" s="19"/>
    </row>
    <row r="104" spans="1:7" ht="18" customHeight="1" x14ac:dyDescent="0.25">
      <c r="A104" s="3">
        <v>81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11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11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11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11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11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11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11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11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11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11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11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11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11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11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11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11"/>
      <c r="G143" s="3"/>
    </row>
    <row r="144" spans="1:7" ht="33" customHeight="1" x14ac:dyDescent="0.25">
      <c r="A144" s="26" t="str">
        <f>"اجمالى عدد "&amp;COUNTIF(C104:C143,"*")&amp;" شيك بمبلغ"</f>
        <v>اجمالى عدد 0 شيك بمبلغ</v>
      </c>
      <c r="B144" s="27"/>
      <c r="C144" s="27"/>
      <c r="D144" s="28"/>
      <c r="E144" s="13">
        <f>SUM(E103:E143)</f>
        <v>0</v>
      </c>
      <c r="F144" s="18" t="str">
        <f>NoToTxt(E144,"جنيه","قرش")&amp;" لاغير  "</f>
        <v xml:space="preserve">صفر لاغير  </v>
      </c>
      <c r="G144" s="19"/>
    </row>
    <row r="145" spans="1:7" ht="18" customHeight="1" x14ac:dyDescent="0.25">
      <c r="A145" s="20" t="s">
        <v>10013</v>
      </c>
      <c r="B145" s="20"/>
      <c r="C145" s="20"/>
      <c r="D145" s="20"/>
      <c r="E145" s="20"/>
      <c r="F145" s="20"/>
      <c r="G145" s="20"/>
    </row>
    <row r="146" spans="1:7" ht="32.25" customHeight="1" x14ac:dyDescent="0.25">
      <c r="A146" s="21" t="s">
        <v>10014</v>
      </c>
      <c r="B146" s="22"/>
      <c r="C146" s="22"/>
      <c r="D146" s="22"/>
      <c r="E146" s="22"/>
      <c r="F146" s="22"/>
      <c r="G146" s="22"/>
    </row>
    <row r="147" spans="1:7" ht="18" customHeight="1" x14ac:dyDescent="0.25">
      <c r="A147" s="22"/>
      <c r="B147" s="22"/>
      <c r="C147" s="22"/>
      <c r="D147" s="22"/>
      <c r="E147" s="22"/>
      <c r="F147" s="22"/>
      <c r="G147" s="22"/>
    </row>
    <row r="148" spans="1:7" ht="33.75" customHeight="1" x14ac:dyDescent="0.25">
      <c r="A148" s="30" t="str">
        <f>A100</f>
        <v xml:space="preserve"> تابع حافظة ترتيب اولويات الصرف لجنه الائتمان والتمويل المتناهى الصغر المنعقدة في تاريخ</v>
      </c>
      <c r="B148" s="30"/>
      <c r="C148" s="30"/>
      <c r="D148" s="30"/>
      <c r="E148" s="30"/>
      <c r="F148" s="30"/>
      <c r="G148" s="30"/>
    </row>
    <row r="149" spans="1:7" ht="19.5" customHeight="1" x14ac:dyDescent="0.25">
      <c r="A149" s="29" t="str">
        <f>A101</f>
        <v>علي الحساب الجاري رقم / 405033714006  ببنك الأسكندرية فرع اسيوط</v>
      </c>
      <c r="B149" s="29"/>
      <c r="C149" s="29"/>
      <c r="D149" s="29"/>
      <c r="E149" s="29"/>
      <c r="F149" s="29"/>
      <c r="G149" s="29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26" t="s">
        <v>10594</v>
      </c>
      <c r="B151" s="27"/>
      <c r="C151" s="27"/>
      <c r="D151" s="28"/>
      <c r="E151" s="14">
        <f>E144</f>
        <v>0</v>
      </c>
      <c r="F151" s="18" t="str">
        <f>NoToTxt(E151,"جنيه","قرش")&amp;" لاغير  "</f>
        <v xml:space="preserve">صفر لاغير  </v>
      </c>
      <c r="G151" s="19"/>
    </row>
    <row r="152" spans="1:7" ht="18" customHeight="1" x14ac:dyDescent="0.25">
      <c r="A152" s="3">
        <v>121</v>
      </c>
      <c r="B152" s="3"/>
      <c r="C152" s="10"/>
      <c r="D152" s="3"/>
      <c r="E152" s="3"/>
      <c r="F152" s="11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11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11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11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11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11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11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11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11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11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11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11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11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11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11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11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11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11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11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11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11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11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11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11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11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11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11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11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11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11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11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11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11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11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11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11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11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11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11"/>
      <c r="G191" s="3"/>
    </row>
    <row r="192" spans="1:7" ht="33" customHeight="1" x14ac:dyDescent="0.25">
      <c r="A192" s="26" t="str">
        <f>"اجمالى عدد "&amp;COUNTIF(C152:C191,"*")&amp;" شيك بمبلغ"</f>
        <v>اجمالى عدد 0 شيك بمبلغ</v>
      </c>
      <c r="B192" s="27"/>
      <c r="C192" s="27"/>
      <c r="D192" s="28"/>
      <c r="E192" s="13">
        <f>SUM(E151:E191)</f>
        <v>0</v>
      </c>
      <c r="F192" s="18" t="str">
        <f>NoToTxt(E192,"جنيه","قرش")&amp;" لاغير  "</f>
        <v xml:space="preserve">صفر لاغير  </v>
      </c>
      <c r="G192" s="19"/>
    </row>
    <row r="193" spans="1:7" ht="18" customHeight="1" x14ac:dyDescent="0.25">
      <c r="A193" s="20" t="s">
        <v>10013</v>
      </c>
      <c r="B193" s="20"/>
      <c r="C193" s="20"/>
      <c r="D193" s="20"/>
      <c r="E193" s="20"/>
      <c r="F193" s="20"/>
      <c r="G193" s="20"/>
    </row>
    <row r="194" spans="1:7" ht="32.25" customHeight="1" x14ac:dyDescent="0.25">
      <c r="A194" s="21" t="s">
        <v>10014</v>
      </c>
      <c r="B194" s="22"/>
      <c r="C194" s="22"/>
      <c r="D194" s="22"/>
      <c r="E194" s="22"/>
      <c r="F194" s="22"/>
      <c r="G194" s="22"/>
    </row>
    <row r="195" spans="1:7" ht="18" customHeight="1" x14ac:dyDescent="0.25">
      <c r="A195" s="22"/>
      <c r="B195" s="22"/>
      <c r="C195" s="22"/>
      <c r="D195" s="22"/>
      <c r="E195" s="22"/>
      <c r="F195" s="22"/>
      <c r="G195" s="22"/>
    </row>
    <row r="196" spans="1:7" ht="33.75" customHeight="1" x14ac:dyDescent="0.25">
      <c r="A196" s="30" t="str">
        <f>A148</f>
        <v xml:space="preserve"> تابع حافظة ترتيب اولويات الصرف لجنه الائتمان والتمويل المتناهى الصغر المنعقدة في تاريخ</v>
      </c>
      <c r="B196" s="30"/>
      <c r="C196" s="30"/>
      <c r="D196" s="30"/>
      <c r="E196" s="30"/>
      <c r="F196" s="30"/>
      <c r="G196" s="30"/>
    </row>
    <row r="197" spans="1:7" ht="19.5" customHeight="1" x14ac:dyDescent="0.25">
      <c r="A197" s="29" t="str">
        <f>A149</f>
        <v>علي الحساب الجاري رقم / 405033714006  ببنك الأسكندرية فرع اسيوط</v>
      </c>
      <c r="B197" s="29"/>
      <c r="C197" s="29"/>
      <c r="D197" s="29"/>
      <c r="E197" s="29"/>
      <c r="F197" s="29"/>
      <c r="G197" s="29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26" t="s">
        <v>10595</v>
      </c>
      <c r="B199" s="27"/>
      <c r="C199" s="27"/>
      <c r="D199" s="28"/>
      <c r="E199" s="14">
        <f>E192</f>
        <v>0</v>
      </c>
      <c r="F199" s="18" t="str">
        <f>NoToTxt(E199,"جنيه","قرش")&amp;" لاغير  "</f>
        <v xml:space="preserve">صفر لاغير  </v>
      </c>
      <c r="G199" s="19"/>
    </row>
    <row r="200" spans="1:7" ht="18" customHeight="1" x14ac:dyDescent="0.25">
      <c r="A200" s="3">
        <v>161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11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11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11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11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11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11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11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11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11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11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11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11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11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11"/>
      <c r="G239" s="3"/>
    </row>
    <row r="240" spans="1:7" ht="33" customHeight="1" x14ac:dyDescent="0.25">
      <c r="A240" s="26" t="str">
        <f>"اجمالى عدد "&amp;COUNTIF(C200:C239,"*")&amp;" شيك بمبلغ"</f>
        <v>اجمالى عدد 0 شيك بمبلغ</v>
      </c>
      <c r="B240" s="27"/>
      <c r="C240" s="27"/>
      <c r="D240" s="28"/>
      <c r="E240" s="13">
        <f>SUM(E199:E239)</f>
        <v>0</v>
      </c>
      <c r="F240" s="18" t="str">
        <f>NoToTxt(E240,"جنيه","قرش")&amp;" لاغير  "</f>
        <v xml:space="preserve">صفر لاغير  </v>
      </c>
      <c r="G240" s="19"/>
    </row>
    <row r="241" spans="1:7" ht="18" customHeight="1" x14ac:dyDescent="0.25">
      <c r="A241" s="20" t="s">
        <v>10013</v>
      </c>
      <c r="B241" s="20"/>
      <c r="C241" s="20"/>
      <c r="D241" s="20"/>
      <c r="E241" s="20"/>
      <c r="F241" s="20"/>
      <c r="G241" s="20"/>
    </row>
    <row r="242" spans="1:7" ht="32.25" customHeight="1" x14ac:dyDescent="0.25">
      <c r="A242" s="21" t="s">
        <v>10014</v>
      </c>
      <c r="B242" s="22"/>
      <c r="C242" s="22"/>
      <c r="D242" s="22"/>
      <c r="E242" s="22"/>
      <c r="F242" s="22"/>
      <c r="G242" s="22"/>
    </row>
    <row r="243" spans="1:7" ht="18" customHeight="1" x14ac:dyDescent="0.25">
      <c r="A243" s="22"/>
      <c r="B243" s="22"/>
      <c r="C243" s="22"/>
      <c r="D243" s="22"/>
      <c r="E243" s="22"/>
      <c r="F243" s="22"/>
      <c r="G243" s="22"/>
    </row>
    <row r="244" spans="1:7" ht="33.75" customHeight="1" x14ac:dyDescent="0.25">
      <c r="A244" s="30" t="str">
        <f>A196</f>
        <v xml:space="preserve"> تابع حافظة ترتيب اولويات الصرف لجنه الائتمان والتمويل المتناهى الصغر المنعقدة في تاريخ</v>
      </c>
      <c r="B244" s="30"/>
      <c r="C244" s="30"/>
      <c r="D244" s="30"/>
      <c r="E244" s="30"/>
      <c r="F244" s="30"/>
      <c r="G244" s="30"/>
    </row>
    <row r="245" spans="1:7" ht="19.5" customHeight="1" x14ac:dyDescent="0.25">
      <c r="A245" s="29" t="str">
        <f>A197</f>
        <v>علي الحساب الجاري رقم / 405033714006  ببنك الأسكندرية فرع اسيوط</v>
      </c>
      <c r="B245" s="29"/>
      <c r="C245" s="29"/>
      <c r="D245" s="29"/>
      <c r="E245" s="29"/>
      <c r="F245" s="29"/>
      <c r="G245" s="29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26" t="s">
        <v>10596</v>
      </c>
      <c r="B247" s="27"/>
      <c r="C247" s="27"/>
      <c r="D247" s="28"/>
      <c r="E247" s="14">
        <f>E240</f>
        <v>0</v>
      </c>
      <c r="F247" s="18" t="str">
        <f>NoToTxt(E247,"جنيه","قرش")&amp;" لاغير  "</f>
        <v xml:space="preserve">صفر لاغير  </v>
      </c>
      <c r="G247" s="19"/>
    </row>
    <row r="248" spans="1:7" ht="18" customHeight="1" x14ac:dyDescent="0.25">
      <c r="A248" s="3">
        <v>201</v>
      </c>
      <c r="B248" s="3"/>
      <c r="C248" s="10"/>
      <c r="D248" s="3"/>
      <c r="E248" s="3"/>
      <c r="F248" s="11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11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11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11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11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11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11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11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11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11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11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11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11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11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11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11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11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11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11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11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11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11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11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11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11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11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11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11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11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11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11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11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11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11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11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11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11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11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11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11"/>
      <c r="G287" s="3"/>
    </row>
    <row r="288" spans="1:7" ht="33" customHeight="1" x14ac:dyDescent="0.25">
      <c r="A288" s="26" t="str">
        <f>"اجمالى عدد "&amp;COUNTIF(C248:C287,"*")&amp;" شيك بمبلغ"</f>
        <v>اجمالى عدد 0 شيك بمبلغ</v>
      </c>
      <c r="B288" s="27"/>
      <c r="C288" s="27"/>
      <c r="D288" s="28"/>
      <c r="E288" s="13">
        <f>SUM(E247:E287)</f>
        <v>0</v>
      </c>
      <c r="F288" s="18" t="str">
        <f>NoToTxt(E288,"جنيه","قرش")&amp;" لاغير  "</f>
        <v xml:space="preserve">صفر لاغير  </v>
      </c>
      <c r="G288" s="19"/>
    </row>
    <row r="289" spans="1:7" ht="18" customHeight="1" x14ac:dyDescent="0.25">
      <c r="A289" s="20" t="s">
        <v>10013</v>
      </c>
      <c r="B289" s="20"/>
      <c r="C289" s="20"/>
      <c r="D289" s="20"/>
      <c r="E289" s="20"/>
      <c r="F289" s="20"/>
      <c r="G289" s="20"/>
    </row>
    <row r="290" spans="1:7" ht="32.25" customHeight="1" x14ac:dyDescent="0.25">
      <c r="A290" s="21" t="s">
        <v>10014</v>
      </c>
      <c r="B290" s="22"/>
      <c r="C290" s="22"/>
      <c r="D290" s="22"/>
      <c r="E290" s="22"/>
      <c r="F290" s="22"/>
      <c r="G290" s="22"/>
    </row>
    <row r="291" spans="1:7" ht="18" customHeight="1" x14ac:dyDescent="0.25">
      <c r="A291" s="22"/>
      <c r="B291" s="22"/>
      <c r="C291" s="22"/>
      <c r="D291" s="22"/>
      <c r="E291" s="22"/>
      <c r="F291" s="22"/>
      <c r="G291" s="22"/>
    </row>
    <row r="292" spans="1:7" ht="33.75" customHeight="1" x14ac:dyDescent="0.25">
      <c r="A292" s="30" t="str">
        <f>A244</f>
        <v xml:space="preserve"> تابع حافظة ترتيب اولويات الصرف لجنه الائتمان والتمويل المتناهى الصغر المنعقدة في تاريخ</v>
      </c>
      <c r="B292" s="30"/>
      <c r="C292" s="30"/>
      <c r="D292" s="30"/>
      <c r="E292" s="30"/>
      <c r="F292" s="30"/>
      <c r="G292" s="30"/>
    </row>
    <row r="293" spans="1:7" ht="19.5" customHeight="1" x14ac:dyDescent="0.25">
      <c r="A293" s="29" t="str">
        <f>A245</f>
        <v>علي الحساب الجاري رقم / 405033714006  ببنك الأسكندرية فرع اسيوط</v>
      </c>
      <c r="B293" s="29"/>
      <c r="C293" s="29"/>
      <c r="D293" s="29"/>
      <c r="E293" s="29"/>
      <c r="F293" s="29"/>
      <c r="G293" s="29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26" t="s">
        <v>10597</v>
      </c>
      <c r="B295" s="27"/>
      <c r="C295" s="27"/>
      <c r="D295" s="28"/>
      <c r="E295" s="14">
        <f>E288</f>
        <v>0</v>
      </c>
      <c r="F295" s="18" t="str">
        <f>NoToTxt(E295,"جنيه","قرش")&amp;" لاغير  "</f>
        <v xml:space="preserve">صفر لاغير  </v>
      </c>
      <c r="G295" s="19"/>
    </row>
    <row r="296" spans="1:7" ht="18" customHeight="1" x14ac:dyDescent="0.25">
      <c r="A296" s="3">
        <v>241</v>
      </c>
      <c r="B296" s="3"/>
      <c r="C296" s="10"/>
      <c r="D296" s="3"/>
      <c r="E296" s="3"/>
      <c r="F296" s="11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11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11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11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11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11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11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11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11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11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11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11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11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11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11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11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11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11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11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11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11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11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11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11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11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11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11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11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11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11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11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11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11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11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11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11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11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11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11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11"/>
      <c r="G335" s="3"/>
    </row>
    <row r="336" spans="1:7" ht="33" customHeight="1" x14ac:dyDescent="0.25">
      <c r="A336" s="26" t="str">
        <f>"اجمالى عدد "&amp;COUNTIF(C296:C335,"*")&amp;" شيك بمبلغ"</f>
        <v>اجمالى عدد 0 شيك بمبلغ</v>
      </c>
      <c r="B336" s="27"/>
      <c r="C336" s="27"/>
      <c r="D336" s="28"/>
      <c r="E336" s="13">
        <f>SUM(E295:E335)</f>
        <v>0</v>
      </c>
      <c r="F336" s="18" t="str">
        <f>NoToTxt(E336,"جنيه","قرش")&amp;" لاغير  "</f>
        <v xml:space="preserve">صفر لاغير  </v>
      </c>
      <c r="G336" s="19"/>
    </row>
    <row r="337" spans="1:7" ht="18" customHeight="1" x14ac:dyDescent="0.25">
      <c r="A337" s="20" t="s">
        <v>10013</v>
      </c>
      <c r="B337" s="20"/>
      <c r="C337" s="20"/>
      <c r="D337" s="20"/>
      <c r="E337" s="20"/>
      <c r="F337" s="20"/>
      <c r="G337" s="20"/>
    </row>
    <row r="338" spans="1:7" ht="32.25" customHeight="1" x14ac:dyDescent="0.25">
      <c r="A338" s="21" t="s">
        <v>10014</v>
      </c>
      <c r="B338" s="22"/>
      <c r="C338" s="22"/>
      <c r="D338" s="22"/>
      <c r="E338" s="22"/>
      <c r="F338" s="22"/>
      <c r="G338" s="22"/>
    </row>
    <row r="339" spans="1:7" ht="18" customHeight="1" x14ac:dyDescent="0.25">
      <c r="A339" s="22"/>
      <c r="B339" s="22"/>
      <c r="C339" s="22"/>
      <c r="D339" s="22"/>
      <c r="E339" s="22"/>
      <c r="F339" s="22"/>
      <c r="G339" s="22"/>
    </row>
    <row r="340" spans="1:7" ht="33.75" customHeight="1" x14ac:dyDescent="0.25">
      <c r="A340" s="30" t="str">
        <f>A292</f>
        <v xml:space="preserve"> تابع حافظة ترتيب اولويات الصرف لجنه الائتمان والتمويل المتناهى الصغر المنعقدة في تاريخ</v>
      </c>
      <c r="B340" s="30"/>
      <c r="C340" s="30"/>
      <c r="D340" s="30"/>
      <c r="E340" s="30"/>
      <c r="F340" s="30"/>
      <c r="G340" s="30"/>
    </row>
    <row r="341" spans="1:7" ht="19.5" customHeight="1" x14ac:dyDescent="0.25">
      <c r="A341" s="29" t="str">
        <f>A293</f>
        <v>علي الحساب الجاري رقم / 405033714006  ببنك الأسكندرية فرع اسيوط</v>
      </c>
      <c r="B341" s="29"/>
      <c r="C341" s="29"/>
      <c r="D341" s="29"/>
      <c r="E341" s="29"/>
      <c r="F341" s="29"/>
      <c r="G341" s="29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26" t="s">
        <v>10598</v>
      </c>
      <c r="B343" s="27"/>
      <c r="C343" s="27"/>
      <c r="D343" s="28"/>
      <c r="E343" s="14">
        <f>E336</f>
        <v>0</v>
      </c>
      <c r="F343" s="18" t="str">
        <f>NoToTxt(E343,"جنيه","قرش")&amp;" لاغير  "</f>
        <v xml:space="preserve">صفر لاغير  </v>
      </c>
      <c r="G343" s="19"/>
    </row>
    <row r="344" spans="1:7" ht="18" customHeight="1" x14ac:dyDescent="0.25">
      <c r="A344" s="3">
        <v>281</v>
      </c>
      <c r="B344" s="3"/>
      <c r="C344" s="10"/>
      <c r="D344" s="3"/>
      <c r="E344" s="3"/>
      <c r="F344" s="11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11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11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11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11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11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11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11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11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11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11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11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11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11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11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11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11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11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11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11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11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11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11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11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11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11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11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11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11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11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11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11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11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11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11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11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11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11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11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11"/>
      <c r="G383" s="3"/>
    </row>
    <row r="384" spans="1:7" ht="33" customHeight="1" x14ac:dyDescent="0.25">
      <c r="A384" s="26" t="str">
        <f>"اجمالى عدد "&amp;COUNTIF(C344:C383,"*")&amp;" شيك بمبلغ"</f>
        <v>اجمالى عدد 0 شيك بمبلغ</v>
      </c>
      <c r="B384" s="27"/>
      <c r="C384" s="27"/>
      <c r="D384" s="28"/>
      <c r="E384" s="13">
        <f>SUM(E343:E383)</f>
        <v>0</v>
      </c>
      <c r="F384" s="18" t="str">
        <f>NoToTxt(E384,"جنيه","قرش")&amp;" لاغير  "</f>
        <v xml:space="preserve">صفر لاغير  </v>
      </c>
      <c r="G384" s="19"/>
    </row>
    <row r="385" spans="1:7" ht="18" customHeight="1" x14ac:dyDescent="0.25">
      <c r="A385" s="20" t="s">
        <v>10013</v>
      </c>
      <c r="B385" s="20"/>
      <c r="C385" s="20"/>
      <c r="D385" s="20"/>
      <c r="E385" s="20"/>
      <c r="F385" s="20"/>
      <c r="G385" s="20"/>
    </row>
    <row r="386" spans="1:7" ht="32.25" customHeight="1" x14ac:dyDescent="0.25">
      <c r="A386" s="21" t="s">
        <v>10014</v>
      </c>
      <c r="B386" s="22"/>
      <c r="C386" s="22"/>
      <c r="D386" s="22"/>
      <c r="E386" s="22"/>
      <c r="F386" s="22"/>
      <c r="G386" s="22"/>
    </row>
    <row r="387" spans="1:7" ht="18" customHeight="1" x14ac:dyDescent="0.25">
      <c r="A387" s="22"/>
      <c r="B387" s="22"/>
      <c r="C387" s="22"/>
      <c r="D387" s="22"/>
      <c r="E387" s="22"/>
      <c r="F387" s="22"/>
      <c r="G387" s="22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A5:E5"/>
    <mergeCell ref="B48:D48"/>
    <mergeCell ref="A384:D384"/>
    <mergeCell ref="F384:G384"/>
    <mergeCell ref="A385:G385"/>
    <mergeCell ref="A242:G242"/>
    <mergeCell ref="A243:G243"/>
    <mergeCell ref="A244:G244"/>
    <mergeCell ref="A245:G245"/>
    <mergeCell ref="A247:D247"/>
    <mergeCell ref="F247:G247"/>
    <mergeCell ref="A103:D103"/>
    <mergeCell ref="F103:G103"/>
    <mergeCell ref="A241:G241"/>
    <mergeCell ref="A192:D192"/>
    <mergeCell ref="F192:G192"/>
    <mergeCell ref="A337:G337"/>
    <mergeCell ref="A288:D288"/>
    <mergeCell ref="F288:G288"/>
    <mergeCell ref="A289:G289"/>
    <mergeCell ref="A290:G290"/>
    <mergeCell ref="A291:G291"/>
    <mergeCell ref="A292:G292"/>
    <mergeCell ref="A293:G293"/>
    <mergeCell ref="A295:D295"/>
    <mergeCell ref="F295:G295"/>
    <mergeCell ref="A336:D336"/>
    <mergeCell ref="F336:G336"/>
    <mergeCell ref="A387:G387"/>
    <mergeCell ref="A338:G338"/>
    <mergeCell ref="A339:G339"/>
    <mergeCell ref="A340:G340"/>
    <mergeCell ref="A341:G341"/>
    <mergeCell ref="A343:D343"/>
    <mergeCell ref="F343:G343"/>
    <mergeCell ref="A386:G386"/>
    <mergeCell ref="A240:D240"/>
    <mergeCell ref="F240:G240"/>
    <mergeCell ref="A149:G149"/>
    <mergeCell ref="A151:D151"/>
    <mergeCell ref="F151:G151"/>
    <mergeCell ref="A193:G193"/>
    <mergeCell ref="A194:G194"/>
    <mergeCell ref="A195:G195"/>
    <mergeCell ref="A196:G196"/>
    <mergeCell ref="A197:G197"/>
    <mergeCell ref="A51:G51"/>
    <mergeCell ref="A99:G99"/>
    <mergeCell ref="A100:G100"/>
    <mergeCell ref="A101:G101"/>
    <mergeCell ref="A199:D199"/>
    <mergeCell ref="F199:G199"/>
    <mergeCell ref="A148:G148"/>
    <mergeCell ref="A144:D144"/>
    <mergeCell ref="F144:G144"/>
    <mergeCell ref="A145:G145"/>
    <mergeCell ref="A146:G146"/>
    <mergeCell ref="A147:G147"/>
    <mergeCell ref="F48:G48"/>
    <mergeCell ref="A97:G97"/>
    <mergeCell ref="A98:G98"/>
    <mergeCell ref="A1:C1"/>
    <mergeCell ref="A2:C2"/>
    <mergeCell ref="A6:G6"/>
    <mergeCell ref="A3:C3"/>
    <mergeCell ref="A55:D55"/>
    <mergeCell ref="F55:G55"/>
    <mergeCell ref="A53:G53"/>
    <mergeCell ref="A52:G52"/>
    <mergeCell ref="F1:G1"/>
    <mergeCell ref="A96:D96"/>
    <mergeCell ref="F96:G96"/>
    <mergeCell ref="A49:G49"/>
    <mergeCell ref="A50:G50"/>
  </mergeCells>
  <printOptions horizontalCentered="1"/>
  <pageMargins left="0.19" right="0.18" top="0.56999999999999995" bottom="0.28999999999999998" header="0.3" footer="0.3"/>
  <pageSetup paperSize="9" scale="78" orientation="portrait" r:id="rId2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شيكات محررة</vt:lpstr>
      <vt:lpstr>data</vt:lpstr>
      <vt:lpstr>'حافظة شيكات محررة'!Print_Area</vt:lpstr>
      <vt:lpstr>'حافظة شيكات محررة'!Print_Titles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Committee; Misr</cp:keywords>
  <cp:lastModifiedBy>mis</cp:lastModifiedBy>
  <cp:lastPrinted>2016-11-03T10:59:42Z</cp:lastPrinted>
  <dcterms:created xsi:type="dcterms:W3CDTF">2004-03-18T13:46:53Z</dcterms:created>
  <dcterms:modified xsi:type="dcterms:W3CDTF">2021-04-26T12:47:51Z</dcterms:modified>
</cp:coreProperties>
</file>