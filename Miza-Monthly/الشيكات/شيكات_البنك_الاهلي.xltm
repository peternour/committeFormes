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الشيكات\"/>
    </mc:Choice>
  </mc:AlternateContent>
  <bookViews>
    <workbookView xWindow="7632" yWindow="48" windowWidth="7668" windowHeight="8508" tabRatio="882" firstSheet="1" activeTab="1"/>
  </bookViews>
  <sheets>
    <sheet name="data" sheetId="2" state="hidden" r:id="rId1"/>
    <sheet name="حافظة شيكات محررة" sheetId="3" r:id="rId2"/>
    <sheet name="حافظة شيكات ملغاة" sheetId="5" r:id="rId3"/>
  </sheets>
  <functionGroups builtInGroupCount="18"/>
  <externalReferences>
    <externalReference r:id="rId4"/>
  </externalReferences>
  <definedNames>
    <definedName name="amc" localSheetId="2">#REF!</definedName>
    <definedName name="amc">#REF!</definedName>
    <definedName name="ayman">'[1]الكشف الأجمالي'!$A$1:$AK$19</definedName>
    <definedName name="data">data!$A$2:$B$10000</definedName>
    <definedName name="mam" localSheetId="2">#REF!</definedName>
    <definedName name="mam">#REF!</definedName>
    <definedName name="_xlnm.Print_Area" localSheetId="1">'حافظة شيكات محررة'!$A$1:$G$421</definedName>
    <definedName name="_xlnm.Print_Area" localSheetId="2">'حافظة شيكات ملغاة'!$A$1:$G$387</definedName>
    <definedName name="_xlnm.Print_Titles" localSheetId="1">'حافظة شيكات محررة'!$1:$3</definedName>
    <definedName name="_xlnm.Print_Titles" localSheetId="2">'حافظة شيكات ملغاة'!$1:$3</definedName>
    <definedName name="Z_2718395A_D8DA_4CE3_9EA2_8C6FE44D2D54_.wvu.PrintArea" localSheetId="1" hidden="1">'حافظة شيكات محررة'!$A$1:$G$421</definedName>
    <definedName name="Z_2718395A_D8DA_4CE3_9EA2_8C6FE44D2D54_.wvu.PrintArea" localSheetId="2" hidden="1">'حافظة شيكات ملغاة'!$A$1:$G$387</definedName>
    <definedName name="Z_2718395A_D8DA_4CE3_9EA2_8C6FE44D2D54_.wvu.PrintTitles" localSheetId="1" hidden="1">'حافظة شيكات محررة'!$1:$3</definedName>
    <definedName name="Z_2718395A_D8DA_4CE3_9EA2_8C6FE44D2D54_.wvu.PrintTitles" localSheetId="2" hidden="1">'حافظة شيكات ملغاة'!$1:$3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F1" i="5" l="1"/>
  <c r="A3" i="5"/>
  <c r="F5" i="5" l="1"/>
  <c r="A384" i="5" l="1"/>
  <c r="A336" i="5"/>
  <c r="A288" i="5"/>
  <c r="A240" i="5"/>
  <c r="A192" i="5"/>
  <c r="A144" i="5"/>
  <c r="H96" i="5"/>
  <c r="A53" i="5"/>
  <c r="A101" i="5" s="1"/>
  <c r="A149" i="5" s="1"/>
  <c r="A197" i="5" s="1"/>
  <c r="A245" i="5" s="1"/>
  <c r="A293" i="5" s="1"/>
  <c r="A341" i="5" s="1"/>
  <c r="A52" i="5"/>
  <c r="A100" i="5" s="1"/>
  <c r="A148" i="5" s="1"/>
  <c r="A196" i="5" s="1"/>
  <c r="A244" i="5" s="1"/>
  <c r="A292" i="5" s="1"/>
  <c r="A340" i="5" s="1"/>
  <c r="H48" i="5"/>
  <c r="A96" i="5" s="1"/>
  <c r="E48" i="5"/>
  <c r="E55" i="5" s="1"/>
  <c r="E96" i="5" s="1"/>
  <c r="E103" i="5" s="1"/>
  <c r="E144" i="5" s="1"/>
  <c r="E151" i="5" s="1"/>
  <c r="E192" i="5" s="1"/>
  <c r="E199" i="5" s="1"/>
  <c r="E240" i="5" s="1"/>
  <c r="E247" i="5" s="1"/>
  <c r="E288" i="5" s="1"/>
  <c r="E295" i="5" s="1"/>
  <c r="E336" i="5" s="1"/>
  <c r="E343" i="5" s="1"/>
  <c r="E384" i="5" s="1"/>
  <c r="B48" i="5"/>
  <c r="F384" i="5"/>
  <c r="F240" i="5"/>
  <c r="F103" i="5"/>
  <c r="F144" i="5"/>
  <c r="F192" i="5"/>
  <c r="F295" i="5"/>
  <c r="F336" i="5"/>
  <c r="F48" i="5"/>
  <c r="F199" i="5"/>
  <c r="F55" i="5"/>
  <c r="F343" i="5"/>
  <c r="F96" i="5"/>
  <c r="F247" i="5"/>
  <c r="F288" i="5"/>
  <c r="F151" i="5"/>
  <c r="H130" i="3" l="1"/>
  <c r="H82" i="3"/>
  <c r="A130" i="3" l="1"/>
  <c r="A418" i="3"/>
  <c r="A370" i="3"/>
  <c r="A322" i="3"/>
  <c r="A274" i="3"/>
  <c r="A226" i="3"/>
  <c r="A178" i="3"/>
  <c r="B82" i="3" l="1"/>
  <c r="E82" i="3"/>
  <c r="A86" i="3"/>
  <c r="A134" i="3" s="1"/>
  <c r="A182" i="3" s="1"/>
  <c r="A230" i="3" s="1"/>
  <c r="A278" i="3" s="1"/>
  <c r="A326" i="3" s="1"/>
  <c r="A374" i="3" s="1"/>
  <c r="A87" i="3"/>
  <c r="A135" i="3" s="1"/>
  <c r="A183" i="3" s="1"/>
  <c r="A231" i="3" s="1"/>
  <c r="A279" i="3" s="1"/>
  <c r="A327" i="3" s="1"/>
  <c r="A375" i="3" s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2" i="3"/>
  <c r="E89" i="3" l="1"/>
  <c r="F89" i="3"/>
  <c r="E130" i="3" l="1"/>
  <c r="F130" i="3"/>
  <c r="E137" i="3" l="1"/>
  <c r="F137" i="3"/>
  <c r="E178" i="3" l="1"/>
  <c r="F178" i="3"/>
  <c r="E185" i="3" l="1"/>
  <c r="F185" i="3"/>
  <c r="E226" i="3" l="1"/>
  <c r="F226" i="3"/>
  <c r="E233" i="3" l="1"/>
  <c r="F233" i="3"/>
  <c r="E274" i="3" l="1"/>
  <c r="F274" i="3"/>
  <c r="E281" i="3" l="1"/>
  <c r="F281" i="3"/>
  <c r="E322" i="3" l="1"/>
  <c r="F322" i="3"/>
  <c r="E329" i="3" l="1"/>
  <c r="F329" i="3"/>
  <c r="E370" i="3" l="1"/>
  <c r="F370" i="3"/>
  <c r="E377" i="3" l="1"/>
  <c r="F377" i="3"/>
  <c r="E418" i="3" l="1"/>
  <c r="F418" i="3"/>
</calcChain>
</file>

<file path=xl/sharedStrings.xml><?xml version="1.0" encoding="utf-8"?>
<sst xmlns="http://schemas.openxmlformats.org/spreadsheetml/2006/main" count="10751" uniqueCount="10609">
  <si>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</si>
  <si>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</si>
  <si>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</si>
  <si>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</si>
  <si>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</si>
  <si>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</si>
  <si>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</si>
  <si>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</si>
  <si>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</si>
  <si>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</si>
  <si>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</si>
  <si>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</si>
  <si>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</si>
  <si>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</si>
  <si>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</si>
  <si>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</si>
  <si>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</si>
  <si>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</si>
  <si>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</si>
  <si>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</si>
  <si>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</si>
  <si>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</si>
  <si>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</si>
  <si>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</si>
  <si>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</si>
  <si>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</si>
  <si>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</si>
  <si>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</si>
  <si>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</si>
  <si>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</si>
  <si>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</si>
  <si>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</si>
  <si>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</si>
  <si>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</si>
  <si>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</si>
  <si>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</si>
  <si>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</si>
  <si>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</si>
  <si>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</si>
  <si>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</si>
  <si>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</si>
  <si>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</si>
  <si>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</si>
  <si>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</si>
  <si>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</si>
  <si>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</si>
  <si>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</si>
  <si>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</si>
  <si>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</si>
  <si>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</si>
  <si>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</si>
  <si>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</si>
  <si>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</si>
  <si>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</si>
  <si>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</si>
  <si>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</si>
  <si>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</si>
  <si>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</si>
  <si>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</si>
  <si>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</si>
  <si>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</si>
  <si>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</si>
  <si>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</si>
  <si>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</si>
  <si>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</si>
  <si>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</si>
  <si>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</si>
  <si>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</si>
  <si>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</si>
  <si>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</si>
  <si>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</si>
  <si>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</si>
  <si>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</si>
  <si>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</si>
  <si>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</si>
  <si>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</si>
  <si>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</si>
  <si>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</si>
  <si>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</si>
  <si>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</si>
  <si>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</si>
  <si>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</si>
  <si>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</si>
  <si>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</si>
  <si>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</si>
  <si>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</si>
  <si>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</si>
  <si>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</si>
  <si>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</si>
  <si>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</si>
  <si>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</si>
  <si>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</si>
  <si>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</si>
  <si>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</si>
  <si>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</si>
  <si>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</si>
  <si>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</si>
  <si>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</si>
  <si>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</si>
  <si>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</si>
  <si>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</si>
  <si>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</si>
  <si>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</si>
  <si>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</si>
  <si>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</si>
  <si>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</si>
  <si>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</si>
  <si>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</si>
  <si>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</si>
  <si>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</si>
  <si>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</si>
  <si>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</si>
  <si>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</si>
  <si>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</si>
  <si>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</si>
  <si>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</si>
  <si>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</si>
  <si>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</si>
  <si>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</si>
  <si>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</si>
  <si>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</si>
  <si>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</si>
  <si>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</si>
  <si>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</si>
  <si>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</si>
  <si>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</si>
  <si>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</si>
  <si>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</si>
  <si>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</si>
  <si>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</si>
  <si>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</si>
  <si>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</si>
  <si>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</si>
  <si>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</si>
  <si>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</si>
  <si>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</si>
  <si>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</si>
  <si>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</si>
  <si>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</si>
  <si>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</si>
  <si>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</si>
  <si>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</si>
  <si>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</si>
  <si>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</si>
  <si>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</si>
  <si>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</si>
  <si>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</si>
  <si>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</si>
  <si>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</si>
  <si>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</si>
  <si>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</si>
  <si>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</si>
  <si>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</si>
  <si>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</si>
  <si>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</si>
  <si>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</si>
  <si>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</si>
  <si>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</si>
  <si>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</si>
  <si>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</si>
  <si>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</si>
  <si>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</si>
  <si>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</si>
  <si>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</si>
  <si>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</si>
  <si>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</si>
  <si>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</si>
  <si>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</si>
  <si>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</si>
  <si>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</si>
  <si>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</si>
  <si>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</si>
  <si>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</si>
  <si>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</si>
  <si>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</si>
  <si>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</si>
  <si>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</si>
  <si>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</si>
  <si>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</si>
  <si>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</si>
  <si>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</si>
  <si>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</si>
  <si>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</si>
  <si>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</si>
  <si>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</si>
  <si>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</si>
  <si>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</si>
  <si>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</si>
  <si>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</si>
  <si>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</si>
  <si>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</si>
  <si>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</si>
  <si>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</si>
  <si>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</si>
  <si>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</si>
  <si>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</si>
  <si>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</si>
  <si>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</si>
  <si>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</si>
  <si>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</si>
  <si>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</si>
  <si>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</si>
  <si>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</si>
  <si>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</si>
  <si>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</si>
  <si>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</si>
  <si>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</si>
  <si>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</si>
  <si>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</si>
  <si>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</si>
  <si>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</si>
  <si>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</si>
  <si>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</si>
  <si>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</si>
  <si>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</si>
  <si>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</si>
  <si>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</si>
  <si>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</si>
  <si>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</si>
  <si>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</si>
  <si>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</si>
  <si>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</si>
  <si>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</si>
  <si>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</si>
  <si>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</si>
  <si>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</si>
  <si>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</si>
  <si>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</si>
  <si>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</si>
  <si>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</si>
  <si>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</si>
  <si>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</si>
  <si>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</si>
  <si>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</si>
  <si>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</si>
  <si>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</si>
  <si>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</si>
  <si>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</si>
  <si>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</si>
  <si>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</si>
  <si>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</si>
  <si>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</si>
  <si>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</si>
  <si>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</si>
  <si>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</si>
  <si>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</si>
  <si>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</si>
  <si>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</si>
  <si>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</si>
  <si>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</si>
  <si>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</si>
  <si>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</si>
  <si>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</si>
  <si>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</si>
  <si>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</si>
  <si>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</si>
  <si>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</si>
  <si>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</si>
  <si>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</si>
  <si>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</si>
  <si>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</si>
  <si>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</si>
  <si>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</si>
  <si>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</si>
  <si>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</si>
  <si>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</si>
  <si>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</si>
  <si>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</si>
  <si>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</si>
  <si>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</si>
  <si>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</si>
  <si>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</si>
  <si>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</si>
  <si>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</si>
  <si>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</si>
  <si>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</si>
  <si>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</si>
  <si>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</si>
  <si>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</si>
  <si>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</si>
  <si>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</si>
  <si>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</si>
  <si>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</si>
  <si>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</si>
  <si>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</si>
  <si>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</si>
  <si>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</si>
  <si>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</si>
  <si>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</si>
  <si>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</si>
  <si>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</si>
  <si>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</si>
  <si>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</si>
  <si>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</si>
  <si>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</si>
  <si>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</si>
  <si>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</si>
  <si>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</si>
  <si>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</si>
  <si>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</si>
  <si>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</si>
  <si>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</si>
  <si>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</si>
  <si>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</si>
  <si>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</si>
  <si>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</si>
  <si>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</si>
  <si>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</si>
  <si>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</si>
  <si>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</si>
  <si>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</si>
  <si>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</si>
  <si>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</si>
  <si>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</si>
  <si>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</si>
  <si>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</si>
  <si>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</si>
  <si>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</si>
  <si>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</si>
  <si>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</si>
  <si>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</si>
  <si>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</si>
  <si>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</si>
  <si>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</si>
  <si>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</si>
  <si>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</si>
  <si>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</si>
  <si>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</si>
  <si>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</si>
  <si>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</si>
  <si>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</si>
  <si>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</si>
  <si>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</si>
  <si>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</si>
  <si>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</si>
  <si>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</si>
  <si>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</si>
  <si>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</si>
  <si>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</si>
  <si>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</si>
  <si>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</si>
  <si>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</si>
  <si>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</si>
  <si>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</si>
  <si>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</si>
  <si>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</si>
  <si>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</si>
  <si>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</si>
  <si>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</si>
  <si>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</si>
  <si>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</si>
  <si>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</si>
  <si>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</si>
  <si>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</si>
  <si>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</si>
  <si>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</si>
  <si>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</si>
  <si>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</si>
  <si>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</si>
  <si>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</si>
  <si>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</si>
  <si>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</si>
  <si>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</si>
  <si>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</si>
  <si>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</si>
  <si>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</si>
  <si>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</si>
  <si>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</si>
  <si>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</si>
  <si>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</si>
  <si>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</si>
  <si>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</si>
  <si>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</si>
  <si>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</si>
  <si>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</si>
  <si>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</si>
  <si>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</si>
  <si>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</si>
  <si>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</si>
  <si>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</si>
  <si>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</si>
  <si>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</si>
  <si>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</si>
  <si>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</si>
  <si>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</si>
  <si>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</si>
  <si>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</si>
  <si>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</si>
  <si>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</si>
  <si>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</si>
  <si>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</si>
  <si>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</si>
  <si>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</si>
  <si>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</si>
  <si>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</si>
  <si>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</si>
  <si>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</si>
  <si>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</si>
  <si>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</si>
  <si>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</si>
  <si>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</si>
  <si>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</si>
  <si>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</si>
  <si>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</si>
  <si>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</si>
  <si>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</si>
  <si>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</si>
  <si>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</si>
  <si>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</si>
  <si>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</si>
  <si>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</si>
  <si>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</si>
  <si>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</si>
  <si>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</si>
  <si>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</si>
  <si>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</si>
  <si>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</si>
  <si>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</si>
  <si>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</si>
  <si>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</si>
  <si>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</si>
  <si>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</si>
  <si>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</si>
  <si>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</si>
  <si>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</si>
  <si>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</si>
  <si>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</si>
  <si>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</si>
  <si>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</si>
  <si>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</si>
  <si>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</si>
  <si>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</si>
  <si>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</si>
  <si>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</si>
  <si>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</si>
  <si>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</si>
  <si>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</si>
  <si>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</si>
  <si>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</si>
  <si>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</si>
  <si>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</si>
  <si>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</si>
  <si>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</si>
  <si>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</si>
  <si>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</si>
  <si>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</si>
  <si>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</si>
  <si>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</si>
  <si>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</si>
  <si>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</si>
  <si>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</si>
  <si>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</si>
  <si>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</si>
  <si>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</si>
  <si>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</si>
  <si>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</si>
  <si>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</si>
  <si>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</si>
  <si>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</si>
  <si>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</si>
  <si>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</si>
  <si>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</si>
  <si>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</si>
  <si>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</si>
  <si>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</si>
  <si>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</si>
  <si>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</si>
  <si>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</si>
  <si>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</si>
  <si>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</si>
  <si>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</si>
  <si>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</si>
  <si>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</si>
  <si>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</si>
  <si>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</si>
  <si>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</si>
  <si>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</si>
  <si>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</si>
  <si>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</si>
  <si>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</si>
  <si>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</si>
  <si>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</si>
  <si>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</si>
  <si>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</si>
  <si>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</si>
  <si>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</si>
  <si>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</si>
  <si>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</si>
  <si>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</si>
  <si>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</si>
  <si>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</si>
  <si>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</si>
  <si>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</si>
  <si>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</si>
  <si>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</si>
  <si>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</si>
  <si>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</si>
  <si>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</si>
  <si>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</si>
  <si>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</si>
  <si>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</si>
  <si>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</si>
  <si>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</si>
  <si>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</si>
  <si>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</si>
  <si>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</si>
  <si>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</si>
  <si>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</si>
  <si>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</si>
  <si>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</si>
  <si>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</si>
  <si>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</si>
  <si>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</si>
  <si>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</si>
  <si>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</si>
  <si>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</si>
  <si>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</si>
  <si>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</si>
  <si>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</si>
  <si>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</si>
  <si>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</si>
  <si>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</si>
  <si>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</si>
  <si>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</si>
  <si>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</si>
  <si>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</si>
  <si>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</si>
  <si>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</si>
  <si>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</si>
  <si>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</si>
  <si>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</si>
  <si>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</si>
  <si>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</si>
  <si>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</si>
  <si>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</si>
  <si>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</si>
  <si>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</si>
  <si>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</si>
  <si>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</si>
  <si>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</si>
  <si>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</si>
  <si>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</si>
  <si>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</si>
  <si>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</si>
  <si>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</si>
  <si>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</si>
  <si>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</si>
  <si>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</si>
  <si>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</si>
  <si>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</si>
  <si>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</si>
  <si>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</si>
  <si>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</si>
  <si>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</si>
  <si>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</si>
  <si>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</si>
  <si>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</si>
  <si>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</si>
  <si>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</si>
  <si>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</si>
  <si>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</si>
  <si>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</si>
  <si>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</si>
  <si>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</si>
  <si>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</si>
  <si>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</si>
  <si>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</si>
  <si>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</si>
  <si>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</si>
  <si>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</si>
  <si>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</si>
  <si>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</si>
  <si>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</si>
  <si>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</si>
  <si>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</si>
  <si>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</si>
  <si>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</si>
  <si>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</si>
  <si>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</si>
  <si>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</si>
  <si>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</si>
  <si>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</si>
  <si>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</si>
  <si>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</si>
  <si>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</si>
  <si>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</si>
  <si>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</si>
  <si>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</si>
  <si>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</si>
  <si>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</si>
  <si>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</si>
  <si>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</si>
  <si>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</si>
  <si>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</si>
  <si>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</si>
  <si>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</si>
  <si>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</si>
  <si>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</si>
  <si>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</si>
  <si>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</si>
  <si>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</si>
  <si>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</si>
  <si>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</si>
  <si>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</si>
  <si>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</si>
  <si>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</si>
  <si>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</si>
  <si>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</si>
  <si>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</si>
  <si>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</si>
  <si>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</si>
  <si>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</si>
  <si>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</si>
  <si>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</si>
  <si>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</si>
  <si>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</si>
  <si>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</si>
  <si>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</si>
  <si>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</si>
  <si>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</si>
  <si>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</si>
  <si>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</si>
  <si>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</si>
  <si>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</si>
  <si>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</si>
  <si>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</si>
  <si>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</si>
  <si>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</si>
  <si>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</si>
  <si>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</si>
  <si>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</si>
  <si>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</si>
  <si>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</si>
  <si>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</si>
  <si>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</si>
  <si>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</si>
  <si>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</si>
  <si>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</si>
  <si>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</si>
  <si>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</si>
  <si>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</si>
  <si>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</si>
  <si>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</si>
  <si>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</si>
  <si>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</si>
  <si>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</si>
  <si>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</si>
  <si>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</si>
  <si>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</si>
  <si>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</si>
  <si>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</si>
  <si>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</si>
  <si>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</si>
  <si>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</si>
  <si>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</si>
  <si>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</si>
  <si>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</si>
  <si>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</si>
  <si>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</si>
  <si>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</si>
  <si>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</si>
  <si>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</si>
  <si>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</si>
  <si>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</si>
  <si>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</si>
  <si>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</si>
  <si>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</si>
  <si>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</si>
  <si>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</si>
  <si>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</si>
  <si>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</si>
  <si>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</si>
  <si>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</si>
  <si>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</si>
  <si>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</si>
  <si>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</si>
  <si>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</si>
  <si>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</si>
  <si>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</si>
  <si>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</si>
  <si>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</si>
  <si>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</si>
  <si>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</si>
  <si>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</si>
  <si>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</si>
  <si>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</si>
  <si>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</si>
  <si>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</si>
  <si>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</si>
  <si>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</si>
  <si>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</si>
  <si>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</si>
  <si>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</si>
  <si>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</si>
  <si>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</si>
  <si>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</si>
  <si>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</si>
  <si>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</si>
  <si>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</si>
  <si>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</si>
  <si>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</si>
  <si>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</si>
  <si>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</si>
  <si>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</si>
  <si>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</si>
  <si>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</si>
  <si>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</si>
  <si>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</si>
  <si>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</si>
  <si>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</si>
  <si>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</si>
  <si>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</si>
  <si>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</si>
  <si>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</si>
  <si>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</si>
  <si>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</si>
  <si>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</si>
  <si>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</si>
  <si>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</si>
  <si>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</si>
  <si>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</si>
  <si>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</si>
  <si>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</si>
  <si>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</si>
  <si>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</si>
  <si>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</si>
  <si>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</si>
  <si>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</si>
  <si>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</si>
  <si>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</si>
  <si>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</si>
  <si>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</si>
  <si>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</si>
  <si>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</si>
  <si>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</si>
  <si>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</si>
  <si>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</si>
  <si>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</si>
  <si>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</si>
  <si>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</si>
  <si>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</si>
  <si>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</si>
  <si>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</si>
  <si>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</si>
  <si>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</si>
  <si>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</si>
  <si>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</si>
  <si>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</si>
  <si>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</si>
  <si>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</si>
  <si>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</si>
  <si>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</si>
  <si>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</si>
  <si>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</si>
  <si>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</si>
  <si>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</si>
  <si>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</si>
  <si>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</si>
  <si>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</si>
  <si>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</si>
  <si>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</si>
  <si>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</si>
  <si>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</si>
  <si>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</si>
  <si>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</si>
  <si>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</si>
  <si>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</si>
  <si>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</si>
  <si>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</si>
  <si>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</si>
  <si>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</si>
  <si>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</si>
  <si>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</si>
  <si>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</si>
  <si>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</si>
  <si>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</si>
  <si>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</si>
  <si>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</si>
  <si>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</si>
  <si>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</si>
  <si>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</si>
  <si>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</si>
  <si>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</si>
  <si>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</si>
  <si>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</si>
  <si>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</si>
  <si>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</si>
  <si>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</si>
  <si>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</si>
  <si>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</si>
  <si>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</si>
  <si>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</si>
  <si>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</si>
  <si>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</si>
  <si>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</si>
  <si>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</si>
  <si>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</si>
  <si>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</si>
  <si>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</si>
  <si>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</si>
  <si>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</si>
  <si>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</si>
  <si>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</si>
  <si>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</si>
  <si>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</si>
  <si>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</si>
  <si>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</si>
  <si>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</si>
  <si>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</si>
  <si>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</si>
  <si>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</si>
  <si>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</si>
  <si>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</si>
  <si>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</si>
  <si>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</si>
  <si>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</si>
  <si>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</si>
  <si>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</si>
  <si>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</si>
  <si>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</si>
  <si>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</si>
  <si>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</si>
  <si>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</si>
  <si>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</si>
  <si>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</si>
  <si>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</si>
  <si>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</si>
  <si>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</si>
  <si>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</si>
  <si>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</si>
  <si>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</si>
  <si>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</si>
  <si>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</si>
  <si>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</si>
  <si>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</si>
  <si>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</si>
  <si>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</si>
  <si>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</si>
  <si>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</si>
  <si>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</si>
  <si>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</si>
  <si>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</si>
  <si>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</si>
  <si>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</si>
  <si>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</si>
  <si>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</si>
  <si>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</si>
  <si>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</si>
  <si>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</si>
  <si>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</si>
  <si>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</si>
  <si>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</si>
  <si>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</si>
  <si>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</si>
  <si>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</si>
  <si>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</si>
  <si>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</si>
  <si>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</si>
  <si>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</si>
  <si>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</si>
  <si>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</si>
  <si>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</si>
  <si>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</si>
  <si>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</si>
  <si>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</si>
  <si>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</si>
  <si>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</si>
  <si>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</si>
  <si>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</si>
  <si>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</si>
  <si>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</si>
  <si>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</si>
  <si>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</si>
  <si>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</si>
  <si>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</si>
  <si>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</si>
  <si>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</si>
  <si>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</si>
  <si>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</si>
  <si>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</si>
  <si>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</si>
  <si>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</si>
  <si>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</si>
  <si>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</si>
  <si>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</si>
  <si>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</si>
  <si>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</si>
  <si>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</si>
  <si>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</si>
  <si>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</si>
  <si>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</si>
  <si>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</si>
  <si>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</si>
  <si>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</si>
  <si>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</si>
  <si>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</si>
  <si>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</si>
  <si>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</si>
  <si>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</si>
  <si>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</si>
  <si>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</si>
  <si>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</si>
  <si>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</si>
  <si>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</si>
  <si>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</si>
  <si>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</si>
  <si>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</si>
  <si>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</si>
  <si>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</si>
  <si>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</si>
  <si>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</si>
  <si>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</si>
  <si>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</si>
  <si>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</si>
  <si>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</si>
  <si>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</si>
  <si>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</si>
  <si>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</si>
  <si>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</si>
  <si>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</si>
  <si>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</si>
  <si>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</si>
  <si>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</si>
  <si>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</si>
  <si>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</si>
  <si>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</si>
  <si>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</si>
  <si>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</si>
  <si>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</si>
  <si>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</si>
  <si>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</si>
  <si>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</si>
  <si>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</si>
  <si>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</si>
  <si>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</si>
  <si>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</si>
  <si>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</si>
  <si>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</si>
  <si>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</si>
  <si>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</si>
  <si>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</si>
  <si>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</si>
  <si>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</si>
  <si>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</si>
  <si>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</si>
  <si>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</si>
  <si>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</si>
  <si>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</si>
  <si>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</si>
  <si>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</si>
  <si>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</si>
  <si>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</si>
  <si>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</si>
  <si>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</si>
  <si>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</si>
  <si>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</si>
  <si>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</si>
  <si>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</si>
  <si>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</si>
  <si>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</si>
  <si>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</si>
  <si>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</si>
  <si>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</si>
  <si>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</si>
  <si>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</si>
  <si>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</si>
  <si>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</si>
  <si>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</si>
  <si>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</si>
  <si>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</si>
  <si>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</si>
  <si>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</si>
  <si>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</si>
  <si>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</si>
  <si>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</si>
  <si>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</si>
  <si>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</si>
  <si>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</si>
  <si>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</si>
  <si>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</si>
  <si>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</si>
  <si>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</si>
  <si>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</si>
  <si>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</si>
  <si>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</si>
  <si>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</si>
  <si>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</si>
  <si>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</si>
  <si>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</si>
  <si>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</si>
  <si>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</si>
  <si>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</si>
  <si>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</si>
  <si>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</si>
  <si>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</si>
  <si>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</si>
  <si>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</si>
  <si>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</si>
  <si>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</si>
  <si>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</si>
  <si>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</si>
  <si>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</si>
  <si>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</si>
  <si>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</si>
  <si>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</si>
  <si>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</si>
  <si>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</si>
  <si>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</si>
  <si>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</si>
  <si>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</si>
  <si>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</si>
  <si>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</si>
  <si>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</si>
  <si>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</si>
  <si>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</si>
  <si>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</si>
  <si>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</si>
  <si>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</si>
  <si>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</si>
  <si>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</si>
  <si>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</si>
  <si>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</si>
  <si>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</si>
  <si>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</si>
  <si>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</si>
  <si>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</si>
  <si>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</si>
  <si>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</si>
  <si>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</si>
  <si>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</si>
  <si>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</si>
  <si>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</si>
  <si>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</si>
  <si>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</si>
  <si>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</si>
  <si>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</si>
  <si>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</si>
  <si>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</si>
  <si>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</si>
  <si>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</si>
  <si>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</si>
  <si>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</si>
  <si>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</si>
  <si>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</si>
  <si>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</si>
  <si>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</si>
  <si>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</si>
  <si>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</si>
  <si>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</si>
  <si>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</si>
  <si>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</si>
  <si>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</si>
  <si>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</si>
  <si>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</si>
  <si>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</si>
  <si>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</si>
  <si>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</si>
  <si>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</si>
  <si>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</si>
  <si>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</si>
  <si>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</si>
  <si>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</si>
  <si>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</si>
  <si>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</si>
  <si>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</si>
  <si>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</si>
  <si>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</si>
  <si>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</si>
  <si>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</si>
  <si>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</si>
  <si>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</si>
  <si>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</si>
  <si>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</si>
  <si>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</si>
  <si>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</si>
  <si>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</si>
  <si>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</si>
  <si>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</si>
  <si>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</si>
  <si>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</si>
  <si>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</si>
  <si>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</si>
  <si>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</si>
  <si>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</si>
  <si>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</si>
  <si>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</si>
  <si>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</si>
  <si>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</si>
  <si>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</si>
  <si>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</si>
  <si>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</si>
  <si>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</si>
  <si>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</si>
  <si>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</si>
  <si>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</si>
  <si>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</si>
  <si>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</si>
  <si>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</si>
  <si>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</si>
  <si>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</si>
  <si>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</si>
  <si>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</si>
  <si>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</si>
  <si>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</si>
  <si>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</si>
  <si>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</si>
  <si>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</si>
  <si>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</si>
  <si>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</si>
  <si>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</si>
  <si>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</si>
  <si>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</si>
  <si>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</si>
  <si>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</si>
  <si>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</si>
  <si>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</si>
  <si>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</si>
  <si>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</si>
  <si>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</si>
  <si>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</si>
  <si>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</si>
  <si>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</si>
  <si>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</si>
  <si>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</si>
  <si>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</si>
  <si>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</si>
  <si>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</si>
  <si>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</si>
  <si>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</si>
  <si>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</si>
  <si>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</si>
  <si>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</si>
  <si>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</si>
  <si>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</si>
  <si>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</si>
  <si>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</si>
  <si>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</si>
  <si>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</si>
  <si>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</si>
  <si>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</si>
  <si>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</si>
  <si>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</si>
  <si>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</si>
  <si>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</si>
  <si>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</si>
  <si>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</si>
  <si>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</si>
  <si>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</si>
  <si>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</si>
  <si>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</si>
  <si>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</si>
  <si>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</si>
  <si>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</si>
  <si>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</si>
  <si>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</si>
  <si>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</si>
  <si>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</si>
  <si>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</si>
  <si>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</si>
  <si>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</si>
  <si>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</si>
  <si>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</si>
  <si>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</si>
  <si>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</si>
  <si>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</si>
  <si>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</si>
  <si>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</si>
  <si>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</si>
  <si>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</si>
  <si>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</si>
  <si>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</si>
  <si>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</si>
  <si>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</si>
  <si>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</si>
  <si>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</si>
  <si>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</si>
  <si>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</si>
  <si>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</si>
  <si>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</si>
  <si>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</si>
  <si>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</si>
  <si>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</si>
  <si>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</si>
  <si>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</si>
  <si>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</si>
  <si>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</si>
  <si>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</si>
  <si>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</si>
  <si>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</si>
  <si>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</si>
  <si>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</si>
  <si>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</si>
  <si>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</si>
  <si>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</si>
  <si>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</si>
  <si>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</si>
  <si>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</si>
  <si>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</si>
  <si>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</si>
  <si>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</si>
  <si>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</si>
  <si>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</si>
  <si>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</si>
  <si>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</si>
  <si>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</si>
  <si>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</si>
  <si>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</si>
  <si>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</si>
  <si>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</si>
  <si>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</si>
  <si>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</si>
  <si>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</si>
  <si>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</si>
  <si>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</si>
  <si>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</si>
  <si>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</si>
  <si>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</si>
  <si>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</si>
  <si>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</si>
  <si>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</si>
  <si>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</si>
  <si>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</si>
  <si>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</si>
  <si>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</si>
  <si>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</si>
  <si>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</si>
  <si>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</si>
  <si>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</si>
  <si>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</si>
  <si>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</si>
  <si>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</si>
  <si>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</si>
  <si>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</si>
  <si>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</si>
  <si>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</si>
  <si>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</si>
  <si>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</si>
  <si>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</si>
  <si>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</si>
  <si>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</si>
  <si>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</si>
  <si>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</si>
  <si>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</si>
  <si>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</si>
  <si>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</si>
  <si>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</si>
  <si>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</si>
  <si>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</si>
  <si>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</si>
  <si>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</si>
  <si>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</si>
  <si>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</si>
  <si>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</si>
  <si>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</si>
  <si>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</si>
  <si>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</si>
  <si>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</si>
  <si>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</si>
  <si>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</si>
  <si>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</si>
  <si>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</si>
  <si>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</si>
  <si>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</si>
  <si>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</si>
  <si>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</si>
  <si>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</si>
  <si>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</si>
  <si>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</si>
  <si>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</si>
  <si>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</si>
  <si>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</si>
  <si>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</si>
  <si>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</si>
  <si>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</si>
  <si>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</si>
  <si>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</si>
  <si>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</si>
  <si>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</si>
  <si>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</si>
  <si>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</si>
  <si>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</si>
  <si>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</si>
  <si>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</si>
  <si>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</si>
  <si>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</si>
  <si>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</si>
  <si>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</si>
  <si>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</si>
  <si>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</si>
  <si>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</si>
  <si>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</si>
  <si>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</si>
  <si>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</si>
  <si>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</si>
  <si>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</si>
  <si>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</si>
  <si>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</si>
  <si>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</si>
  <si>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</si>
  <si>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</si>
  <si>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</si>
  <si>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</si>
  <si>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</si>
  <si>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</si>
  <si>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</si>
  <si>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</si>
  <si>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</si>
  <si>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</si>
  <si>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</si>
  <si>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</si>
  <si>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</si>
  <si>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</si>
  <si>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</si>
  <si>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</si>
  <si>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</si>
  <si>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</si>
  <si>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</si>
  <si>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</si>
  <si>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</si>
  <si>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</si>
  <si>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</si>
  <si>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</si>
  <si>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</si>
  <si>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</si>
  <si>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</si>
  <si>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</si>
  <si>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</si>
  <si>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</si>
  <si>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</si>
  <si>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</si>
  <si>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</si>
  <si>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</si>
  <si>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</si>
  <si>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</si>
  <si>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</si>
  <si>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</si>
  <si>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</si>
  <si>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</si>
  <si>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</si>
  <si>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</si>
  <si>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</si>
  <si>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</si>
  <si>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</si>
  <si>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</si>
  <si>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</si>
  <si>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</si>
  <si>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</si>
  <si>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</si>
  <si>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</si>
  <si>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</si>
  <si>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</si>
  <si>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</si>
  <si>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</si>
  <si>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</si>
  <si>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</si>
  <si>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</si>
  <si>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</si>
  <si>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</si>
  <si>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</si>
  <si>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</si>
  <si>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</si>
  <si>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</si>
  <si>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</si>
  <si>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</si>
  <si>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</si>
  <si>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</si>
  <si>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</si>
  <si>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</si>
  <si>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</si>
  <si>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</si>
  <si>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</si>
  <si>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</si>
  <si>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</si>
  <si>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</si>
  <si>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</si>
  <si>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</si>
  <si>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</si>
  <si>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</si>
  <si>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</si>
  <si>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</si>
  <si>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</si>
  <si>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</si>
  <si>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</si>
  <si>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</si>
  <si>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</si>
  <si>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</si>
  <si>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</si>
  <si>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</si>
  <si>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</si>
  <si>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</si>
  <si>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</si>
  <si>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</si>
  <si>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</si>
  <si>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</si>
  <si>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</si>
  <si>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</si>
  <si>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</si>
  <si>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</si>
  <si>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</si>
  <si>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</si>
  <si>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</si>
  <si>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</si>
  <si>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</si>
  <si>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</si>
  <si>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</si>
  <si>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</si>
  <si>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</si>
  <si>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</si>
  <si>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</si>
  <si>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</si>
  <si>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</si>
  <si>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</si>
  <si>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</si>
  <si>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</si>
  <si>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</si>
  <si>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</si>
  <si>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</si>
  <si>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</si>
  <si>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</si>
  <si>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</si>
  <si>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</si>
  <si>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</si>
  <si>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</si>
  <si>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</si>
  <si>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</si>
  <si>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</si>
  <si>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</si>
  <si>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</si>
  <si>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</si>
  <si>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</si>
  <si>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</si>
  <si>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</si>
  <si>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</si>
  <si>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</si>
  <si>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</si>
  <si>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</si>
  <si>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</si>
  <si>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</si>
  <si>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</si>
  <si>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</si>
  <si>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</si>
  <si>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</si>
  <si>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</si>
  <si>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</si>
  <si>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</si>
  <si>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</si>
  <si>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</si>
  <si>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</si>
  <si>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</si>
  <si>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</si>
  <si>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</si>
  <si>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</si>
  <si>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</si>
  <si>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</si>
  <si>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</si>
  <si>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</si>
  <si>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</si>
  <si>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</si>
  <si>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</si>
  <si>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</si>
  <si>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</si>
  <si>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</si>
  <si>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</si>
  <si>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</si>
  <si>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</si>
  <si>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</si>
  <si>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</si>
  <si>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</si>
  <si>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</si>
  <si>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</si>
  <si>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</si>
  <si>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</si>
  <si>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</si>
  <si>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</si>
  <si>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</si>
  <si>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</si>
  <si>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</si>
  <si>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</si>
  <si>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</si>
  <si>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</si>
  <si>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</si>
  <si>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</si>
  <si>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</si>
  <si>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</si>
  <si>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</si>
  <si>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</si>
  <si>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</si>
  <si>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</si>
  <si>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</si>
  <si>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</si>
  <si>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</si>
  <si>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</si>
  <si>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</si>
  <si>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</si>
  <si>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</si>
  <si>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</si>
  <si>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</si>
  <si>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</si>
  <si>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</si>
  <si>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</si>
  <si>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</si>
  <si>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</si>
  <si>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</si>
  <si>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</si>
  <si>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</si>
  <si>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</si>
  <si>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</si>
  <si>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</si>
  <si>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</si>
  <si>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</si>
  <si>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</si>
  <si>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</si>
  <si>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</si>
  <si>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</si>
  <si>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</si>
  <si>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</si>
  <si>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</si>
  <si>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</si>
  <si>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</si>
  <si>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</si>
  <si>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</si>
  <si>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</si>
  <si>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</si>
  <si>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</si>
  <si>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</si>
  <si>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</si>
  <si>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</si>
  <si>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</si>
  <si>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</si>
  <si>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</si>
  <si>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</si>
  <si>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</si>
  <si>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</si>
  <si>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</si>
  <si>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</si>
  <si>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</si>
  <si>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</si>
  <si>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</si>
  <si>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</si>
  <si>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</si>
  <si>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</si>
  <si>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</si>
  <si>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</si>
  <si>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</si>
  <si>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</si>
  <si>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</si>
  <si>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</si>
  <si>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</si>
  <si>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</si>
  <si>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</si>
  <si>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</si>
  <si>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</si>
  <si>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</si>
  <si>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</si>
  <si>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</si>
  <si>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</si>
  <si>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</si>
  <si>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</si>
  <si>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</si>
  <si>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</si>
  <si>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</si>
  <si>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</si>
  <si>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</si>
  <si>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</si>
  <si>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</si>
  <si>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</si>
  <si>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</si>
  <si>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</si>
  <si>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</si>
  <si>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</si>
  <si>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</si>
  <si>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</si>
  <si>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</si>
  <si>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</si>
  <si>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</si>
  <si>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</si>
  <si>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</si>
  <si>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</si>
  <si>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</si>
  <si>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</si>
  <si>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</si>
  <si>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</si>
  <si>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</si>
  <si>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</si>
  <si>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</si>
  <si>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</si>
  <si>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</si>
  <si>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</si>
  <si>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</si>
  <si>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</si>
  <si>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</si>
  <si>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</si>
  <si>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</si>
  <si>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</si>
  <si>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</si>
  <si>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</si>
  <si>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</si>
  <si>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</si>
  <si>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</si>
  <si>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</si>
  <si>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</si>
  <si>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</si>
  <si>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</si>
  <si>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</si>
  <si>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</si>
  <si>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</si>
  <si>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</si>
  <si>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</si>
  <si>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</si>
  <si>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</si>
  <si>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</si>
  <si>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</si>
  <si>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</si>
  <si>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</si>
  <si>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</si>
  <si>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</si>
  <si>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</si>
  <si>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</si>
  <si>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</si>
  <si>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</si>
  <si>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</si>
  <si>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</si>
  <si>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</si>
  <si>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</si>
  <si>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</si>
  <si>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</si>
  <si>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</si>
  <si>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</si>
  <si>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</si>
  <si>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</si>
  <si>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</si>
  <si>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</si>
  <si>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</si>
  <si>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</si>
  <si>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</si>
  <si>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</si>
  <si>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</si>
  <si>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</si>
  <si>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</si>
  <si>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</si>
  <si>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</si>
  <si>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</si>
  <si>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</si>
  <si>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</si>
  <si>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</si>
  <si>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</si>
  <si>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</si>
  <si>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</si>
  <si>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</si>
  <si>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</si>
  <si>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</si>
  <si>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</si>
  <si>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</si>
  <si>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</si>
  <si>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</si>
  <si>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</si>
  <si>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</si>
  <si>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</si>
  <si>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</si>
  <si>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</si>
  <si>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</si>
  <si>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</si>
  <si>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</si>
  <si>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</si>
  <si>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</si>
  <si>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</si>
  <si>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</si>
  <si>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</si>
  <si>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</si>
  <si>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</si>
  <si>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</si>
  <si>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</si>
  <si>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</si>
  <si>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</si>
  <si>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</si>
  <si>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</si>
  <si>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</si>
  <si>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</si>
  <si>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</si>
  <si>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</si>
  <si>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</si>
  <si>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</si>
  <si>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</si>
  <si>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</si>
  <si>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</si>
  <si>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</si>
  <si>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</si>
  <si>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</si>
  <si>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</si>
  <si>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</si>
  <si>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</si>
  <si>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</si>
  <si>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</si>
  <si>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</si>
  <si>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</si>
  <si>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</si>
  <si>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</si>
  <si>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</si>
  <si>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</si>
  <si>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</si>
  <si>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</si>
  <si>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</si>
  <si>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</si>
  <si>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</si>
  <si>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</si>
  <si>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</si>
  <si>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</si>
  <si>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</si>
  <si>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</si>
  <si>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</si>
  <si>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</si>
  <si>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</si>
  <si>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</si>
  <si>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</si>
  <si>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</si>
  <si>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</si>
  <si>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</si>
  <si>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</si>
  <si>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</si>
  <si>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</si>
  <si>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</si>
  <si>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</si>
  <si>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</si>
  <si>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</si>
  <si>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</si>
  <si>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</si>
  <si>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</si>
  <si>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</si>
  <si>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</si>
  <si>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</si>
  <si>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</si>
  <si>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</si>
  <si>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</si>
  <si>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</si>
  <si>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</si>
  <si>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</si>
  <si>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</si>
  <si>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</si>
  <si>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</si>
  <si>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</si>
  <si>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</si>
  <si>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</si>
  <si>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</si>
  <si>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</si>
  <si>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</si>
  <si>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</si>
  <si>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</si>
  <si>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</si>
  <si>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</si>
  <si>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</si>
  <si>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</si>
  <si>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</si>
  <si>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</si>
  <si>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</si>
  <si>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</si>
  <si>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</si>
  <si>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</si>
  <si>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</si>
  <si>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</si>
  <si>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</si>
  <si>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</si>
  <si>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</si>
  <si>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</si>
  <si>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</si>
  <si>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</si>
  <si>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</si>
  <si>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</si>
  <si>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</si>
  <si>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</si>
  <si>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</si>
  <si>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</si>
  <si>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</si>
  <si>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</si>
  <si>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</si>
  <si>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</si>
  <si>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</si>
  <si>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</si>
  <si>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</si>
  <si>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</si>
  <si>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</si>
  <si>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</si>
  <si>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</si>
  <si>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</si>
  <si>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</si>
  <si>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</si>
  <si>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</si>
  <si>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</si>
  <si>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</si>
  <si>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</si>
  <si>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</si>
  <si>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</si>
  <si>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</si>
  <si>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</si>
  <si>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</si>
  <si>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</si>
  <si>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</si>
  <si>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</si>
  <si>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</si>
  <si>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</si>
  <si>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</si>
  <si>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</si>
  <si>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</si>
  <si>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</si>
  <si>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</si>
  <si>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</si>
  <si>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</si>
  <si>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</si>
  <si>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</si>
  <si>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</si>
  <si>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</si>
  <si>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</si>
  <si>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</si>
  <si>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</si>
  <si>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</si>
  <si>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</si>
  <si>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</si>
  <si>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</si>
  <si>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</si>
  <si>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</si>
  <si>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</si>
  <si>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</si>
  <si>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</si>
  <si>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</si>
  <si>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</si>
  <si>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</si>
  <si>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</si>
  <si>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</si>
  <si>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</si>
  <si>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</si>
  <si>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</si>
  <si>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</si>
  <si>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</si>
  <si>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</si>
  <si>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</si>
  <si>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</si>
  <si>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</si>
  <si>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</si>
  <si>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</si>
  <si>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</si>
  <si>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</si>
  <si>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</si>
  <si>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</si>
  <si>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</si>
  <si>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</si>
  <si>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</si>
  <si>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</si>
  <si>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</si>
  <si>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</si>
  <si>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</si>
  <si>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</si>
  <si>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</si>
  <si>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</si>
  <si>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</si>
  <si>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</si>
  <si>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</si>
  <si>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</si>
  <si>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</si>
  <si>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</si>
  <si>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</si>
  <si>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</si>
  <si>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</si>
  <si>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</si>
  <si>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</si>
  <si>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</si>
  <si>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</si>
  <si>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</si>
  <si>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</si>
  <si>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</si>
  <si>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</si>
  <si>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</si>
  <si>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</si>
  <si>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</si>
  <si>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</si>
  <si>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</si>
  <si>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</si>
  <si>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</si>
  <si>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</si>
  <si>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</si>
  <si>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</si>
  <si>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</si>
  <si>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</si>
  <si>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</si>
  <si>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</si>
  <si>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</si>
  <si>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</si>
  <si>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</si>
  <si>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</si>
  <si>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</si>
  <si>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</si>
  <si>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</si>
  <si>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</si>
  <si>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</si>
  <si>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</si>
  <si>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</si>
  <si>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</si>
  <si>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</si>
  <si>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</si>
  <si>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</si>
  <si>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</si>
  <si>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</si>
  <si>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</si>
  <si>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</si>
  <si>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</si>
  <si>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</si>
  <si>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</si>
  <si>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</si>
  <si>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</si>
  <si>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</si>
  <si>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</si>
  <si>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</si>
  <si>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</si>
  <si>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</si>
  <si>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</si>
  <si>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</si>
  <si>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</si>
  <si>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</si>
  <si>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</si>
  <si>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</si>
  <si>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</si>
  <si>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</si>
  <si>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</si>
  <si>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</si>
  <si>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</si>
  <si>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</si>
  <si>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</si>
  <si>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</si>
  <si>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</si>
  <si>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</si>
  <si>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</si>
  <si>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</si>
  <si>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</si>
  <si>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</si>
  <si>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</si>
  <si>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</si>
  <si>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</si>
  <si>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</si>
  <si>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</si>
  <si>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</si>
  <si>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</si>
  <si>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</si>
  <si>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</si>
  <si>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</si>
  <si>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</si>
  <si>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</si>
  <si>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</si>
  <si>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</si>
  <si>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</si>
  <si>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</si>
  <si>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</si>
  <si>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</si>
  <si>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</si>
  <si>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</si>
  <si>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</si>
  <si>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</si>
  <si>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</si>
  <si>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</si>
  <si>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</si>
  <si>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</si>
  <si>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</si>
  <si>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</si>
  <si>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</si>
  <si>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</si>
  <si>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</si>
  <si>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</si>
  <si>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</si>
  <si>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</si>
  <si>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</si>
  <si>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</si>
  <si>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</si>
  <si>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</si>
  <si>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</si>
  <si>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</si>
  <si>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</si>
  <si>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</si>
  <si>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</si>
  <si>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</si>
  <si>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</si>
  <si>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</si>
  <si>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</si>
  <si>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</si>
  <si>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</si>
  <si>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</si>
  <si>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</si>
  <si>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</si>
  <si>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</si>
  <si>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</si>
  <si>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</si>
  <si>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</si>
  <si>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</si>
  <si>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</si>
  <si>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</si>
  <si>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</si>
  <si>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</si>
  <si>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</si>
  <si>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</si>
  <si>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</si>
  <si>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</si>
  <si>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</si>
  <si>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</si>
  <si>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</si>
  <si>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</si>
  <si>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</si>
  <si>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</si>
  <si>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</si>
  <si>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</si>
  <si>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</si>
  <si>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</si>
  <si>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</si>
  <si>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</si>
  <si>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</si>
  <si>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</si>
  <si>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</si>
  <si>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</si>
  <si>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</si>
  <si>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</si>
  <si>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</si>
  <si>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</si>
  <si>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</si>
  <si>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</si>
  <si>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</si>
  <si>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</si>
  <si>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</si>
  <si>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</si>
  <si>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</si>
  <si>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</si>
  <si>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</si>
  <si>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</si>
  <si>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</si>
  <si>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</si>
  <si>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</si>
  <si>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</si>
  <si>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</si>
  <si>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</si>
  <si>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</si>
  <si>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</si>
  <si>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</si>
  <si>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</si>
  <si>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</si>
  <si>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</si>
  <si>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</si>
  <si>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</si>
  <si>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</si>
  <si>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</si>
  <si>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</si>
  <si>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</si>
  <si>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</si>
  <si>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</si>
  <si>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</si>
  <si>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</si>
  <si>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</si>
  <si>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</si>
  <si>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</si>
  <si>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</si>
  <si>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</si>
  <si>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</si>
  <si>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</si>
  <si>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</si>
  <si>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</si>
  <si>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</si>
  <si>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</si>
  <si>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</si>
  <si>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</si>
  <si>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</si>
  <si>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</si>
  <si>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</si>
  <si>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</si>
  <si>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</si>
  <si>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</si>
  <si>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</si>
  <si>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</si>
  <si>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</si>
  <si>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</si>
  <si>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</si>
  <si>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</si>
  <si>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</si>
  <si>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</si>
  <si>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</si>
  <si>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</si>
  <si>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</si>
  <si>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</si>
  <si>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</si>
  <si>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</si>
  <si>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</si>
  <si>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</si>
  <si>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</si>
  <si>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</si>
  <si>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</si>
  <si>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</si>
  <si>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</si>
  <si>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</si>
  <si>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</si>
  <si>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</si>
  <si>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</si>
  <si>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</si>
  <si>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</si>
  <si>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</si>
  <si>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</si>
  <si>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</si>
  <si>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</si>
  <si>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</si>
  <si>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</si>
  <si>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</si>
  <si>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</si>
  <si>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</si>
  <si>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</si>
  <si>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</si>
  <si>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</si>
  <si>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</si>
  <si>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</si>
  <si>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</si>
  <si>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</si>
  <si>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</si>
  <si>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</si>
  <si>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</si>
  <si>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</si>
  <si>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</si>
  <si>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</si>
  <si>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</si>
  <si>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</si>
  <si>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</si>
  <si>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</si>
  <si>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</si>
  <si>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</si>
  <si>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</si>
  <si>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</si>
  <si>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</si>
  <si>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</si>
  <si>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</si>
  <si>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</si>
  <si>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</si>
  <si>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</si>
  <si>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</si>
  <si>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</si>
  <si>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</si>
  <si>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</si>
  <si>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</si>
  <si>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</si>
  <si>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</si>
  <si>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</si>
  <si>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</si>
  <si>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</si>
  <si>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</si>
  <si>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</si>
  <si>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</si>
  <si>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</si>
  <si>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</si>
  <si>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</si>
  <si>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</si>
  <si>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</si>
  <si>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</si>
  <si>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</si>
  <si>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</si>
  <si>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</si>
  <si>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</si>
  <si>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</si>
  <si>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</si>
  <si>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</si>
  <si>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</si>
  <si>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</si>
  <si>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</si>
  <si>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</si>
  <si>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</si>
  <si>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</si>
  <si>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</si>
  <si>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</si>
  <si>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</si>
  <si>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</si>
  <si>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</si>
  <si>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</si>
  <si>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</si>
  <si>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</si>
  <si>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</si>
  <si>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</si>
  <si>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</si>
  <si>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</si>
  <si>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</si>
  <si>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</si>
  <si>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</si>
  <si>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</si>
  <si>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</si>
  <si>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</si>
  <si>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</si>
  <si>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</si>
  <si>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</si>
  <si>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</si>
  <si>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</si>
  <si>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</si>
  <si>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</si>
  <si>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</si>
  <si>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</si>
  <si>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</si>
  <si>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</si>
  <si>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</si>
  <si>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</si>
  <si>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</si>
  <si>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</si>
  <si>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</si>
  <si>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</si>
  <si>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</si>
  <si>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</si>
  <si>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</si>
  <si>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</si>
  <si>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</si>
  <si>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</si>
  <si>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</si>
  <si>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</si>
  <si>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</si>
  <si>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</si>
  <si>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</si>
  <si>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</si>
  <si>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</si>
  <si>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</si>
  <si>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</si>
  <si>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</si>
  <si>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</si>
  <si>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</si>
  <si>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</si>
  <si>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</si>
  <si>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</si>
  <si>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</si>
  <si>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</si>
  <si>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</si>
  <si>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</si>
  <si>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</si>
  <si>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</si>
  <si>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</si>
  <si>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</si>
  <si>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</si>
  <si>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</si>
  <si>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</si>
  <si>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</si>
  <si>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</si>
  <si>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</si>
  <si>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</si>
  <si>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</si>
  <si>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</si>
  <si>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</si>
  <si>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</si>
  <si>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</si>
  <si>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</si>
  <si>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</si>
  <si>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</si>
  <si>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</si>
  <si>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</si>
  <si>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</si>
  <si>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</si>
  <si>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</si>
  <si>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</si>
  <si>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</si>
  <si>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</si>
  <si>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</si>
  <si>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</si>
  <si>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</si>
  <si>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</si>
  <si>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</si>
  <si>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</si>
  <si>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</si>
  <si>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</si>
  <si>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</si>
  <si>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</si>
  <si>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</si>
  <si>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</si>
  <si>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</si>
  <si>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</si>
  <si>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</si>
  <si>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</si>
  <si>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</si>
  <si>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</si>
  <si>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</si>
  <si>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</si>
  <si>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</si>
  <si>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</si>
  <si>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</si>
  <si>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</si>
  <si>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</si>
  <si>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</si>
  <si>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</si>
  <si>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</si>
  <si>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</si>
  <si>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</si>
  <si>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</si>
  <si>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</si>
  <si>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</si>
  <si>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</si>
  <si>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</si>
  <si>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</si>
  <si>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</si>
  <si>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</si>
  <si>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</si>
  <si>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</si>
  <si>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</si>
  <si>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</si>
  <si>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</si>
  <si>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</si>
  <si>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</si>
  <si>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</si>
  <si>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</si>
  <si>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</si>
  <si>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</si>
  <si>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</si>
  <si>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</si>
  <si>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</si>
  <si>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</si>
  <si>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</si>
  <si>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</si>
  <si>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</si>
  <si>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</si>
  <si>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</si>
  <si>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</si>
  <si>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</si>
  <si>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</si>
  <si>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</si>
  <si>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</si>
  <si>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</si>
  <si>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</si>
  <si>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</si>
  <si>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</si>
  <si>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</si>
  <si>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</si>
  <si>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</si>
  <si>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</si>
  <si>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</si>
  <si>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</si>
  <si>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</si>
  <si>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</si>
  <si>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</si>
  <si>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</si>
  <si>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</si>
  <si>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</si>
  <si>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</si>
  <si>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</si>
  <si>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</si>
  <si>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</si>
  <si>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</si>
  <si>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</si>
  <si>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</si>
  <si>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</si>
  <si>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</si>
  <si>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</si>
  <si>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</si>
  <si>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</si>
  <si>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</si>
  <si>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</si>
  <si>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</si>
  <si>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</si>
  <si>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</si>
  <si>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</si>
  <si>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</si>
  <si>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</si>
  <si>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</si>
  <si>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</si>
  <si>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</si>
  <si>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</si>
  <si>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</si>
  <si>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</si>
  <si>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</si>
  <si>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</si>
  <si>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</si>
  <si>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</si>
  <si>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</si>
  <si>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</si>
  <si>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</si>
  <si>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</si>
  <si>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</si>
  <si>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</si>
  <si>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</si>
  <si>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</si>
  <si>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</si>
  <si>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</si>
  <si>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</si>
  <si>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</si>
  <si>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</si>
  <si>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</si>
  <si>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</si>
  <si>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</si>
  <si>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</si>
  <si>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</si>
  <si>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</si>
  <si>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</si>
  <si>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</si>
  <si>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</si>
  <si>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</si>
  <si>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</si>
  <si>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</si>
  <si>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</si>
  <si>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</si>
  <si>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</si>
  <si>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</si>
  <si>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</si>
  <si>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</si>
  <si>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</si>
  <si>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</si>
  <si>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</si>
  <si>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</si>
  <si>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</si>
  <si>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</si>
  <si>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</si>
  <si>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</si>
  <si>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</si>
  <si>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</si>
  <si>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</si>
  <si>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</si>
  <si>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</si>
  <si>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</si>
  <si>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</si>
  <si>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</si>
  <si>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</si>
  <si>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</si>
  <si>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</si>
  <si>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</si>
  <si>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</si>
  <si>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</si>
  <si>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</si>
  <si>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</si>
  <si>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</si>
  <si>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</si>
  <si>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</si>
  <si>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</si>
  <si>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</si>
  <si>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</si>
  <si>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</si>
  <si>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</si>
  <si>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</si>
  <si>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</si>
  <si>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</si>
  <si>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</si>
  <si>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</si>
  <si>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</si>
  <si>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</si>
  <si>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</si>
  <si>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</si>
  <si>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</si>
  <si>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</si>
  <si>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</si>
  <si>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</si>
  <si>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</si>
  <si>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</si>
  <si>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</si>
  <si>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</si>
  <si>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</si>
  <si>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</si>
  <si>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</si>
  <si>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</si>
  <si>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</si>
  <si>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</si>
  <si>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</si>
  <si>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</si>
  <si>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</si>
  <si>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</si>
  <si>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</si>
  <si>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</si>
  <si>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</si>
  <si>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</si>
  <si>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</si>
  <si>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</si>
  <si>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</si>
  <si>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</si>
  <si>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</si>
  <si>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</si>
  <si>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</si>
  <si>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</si>
  <si>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</si>
  <si>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</si>
  <si>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</si>
  <si>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</si>
  <si>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</si>
  <si>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</si>
  <si>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</si>
  <si>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</si>
  <si>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</si>
  <si>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</si>
  <si>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</si>
  <si>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</si>
  <si>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</si>
  <si>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</si>
  <si>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</si>
  <si>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</si>
  <si>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</si>
  <si>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</si>
  <si>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</si>
  <si>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</si>
  <si>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</si>
  <si>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</si>
  <si>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</si>
  <si>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</si>
  <si>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</si>
  <si>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</si>
  <si>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</si>
  <si>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</si>
  <si>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</si>
  <si>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</si>
  <si>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</si>
  <si>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</si>
  <si>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</si>
  <si>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</si>
  <si>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</si>
  <si>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</si>
  <si>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</si>
  <si>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</si>
  <si>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</si>
  <si>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</si>
  <si>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</si>
  <si>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</si>
  <si>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</si>
  <si>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</si>
  <si>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</si>
  <si>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</si>
  <si>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</si>
  <si>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</si>
  <si>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</si>
  <si>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</si>
  <si>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</si>
  <si>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</si>
  <si>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</si>
  <si>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</si>
  <si>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</si>
  <si>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</si>
  <si>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</si>
  <si>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</si>
  <si>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</si>
  <si>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</si>
  <si>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</si>
  <si>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</si>
  <si>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</si>
  <si>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</si>
  <si>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</si>
  <si>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</si>
  <si>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</si>
  <si>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</si>
  <si>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</si>
  <si>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</si>
  <si>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</si>
  <si>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</si>
  <si>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</si>
  <si>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</si>
  <si>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</si>
  <si>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</si>
  <si>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</si>
  <si>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</si>
  <si>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</si>
  <si>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</si>
  <si>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</si>
  <si>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</si>
  <si>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</si>
  <si>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</si>
  <si>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</si>
  <si>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</si>
  <si>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</si>
  <si>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</si>
  <si>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</si>
  <si>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</si>
  <si>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</si>
  <si>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</si>
  <si>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</si>
  <si>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</si>
  <si>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</si>
  <si>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</si>
  <si>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</si>
  <si>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</si>
  <si>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</si>
  <si>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</si>
  <si>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</si>
  <si>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</si>
  <si>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</si>
  <si>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</si>
  <si>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</si>
  <si>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</si>
  <si>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</si>
  <si>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</si>
  <si>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</si>
  <si>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</si>
  <si>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</si>
  <si>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</si>
  <si>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</si>
  <si>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</si>
  <si>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</si>
  <si>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</si>
  <si>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</si>
  <si>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</si>
  <si>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</si>
  <si>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</si>
  <si>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</si>
  <si>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</si>
  <si>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</si>
  <si>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</si>
  <si>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</si>
  <si>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</si>
  <si>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</si>
  <si>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</si>
  <si>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</si>
  <si>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</si>
  <si>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</si>
  <si>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</si>
  <si>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</si>
  <si>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</si>
  <si>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</si>
  <si>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</si>
  <si>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</si>
  <si>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</si>
  <si>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</si>
  <si>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</si>
  <si>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</si>
  <si>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</si>
  <si>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</si>
  <si>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</si>
  <si>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</si>
  <si>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</si>
  <si>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</si>
  <si>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</si>
  <si>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</si>
  <si>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</si>
  <si>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</si>
  <si>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</si>
  <si>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</si>
  <si>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</si>
  <si>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</si>
  <si>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</si>
  <si>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</si>
  <si>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</si>
  <si>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</si>
  <si>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</si>
  <si>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</si>
  <si>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</si>
  <si>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</si>
  <si>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</si>
  <si>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</si>
  <si>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</si>
  <si>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</si>
  <si>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</si>
  <si>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</si>
  <si>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</si>
  <si>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</si>
  <si>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</si>
  <si>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</si>
  <si>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</si>
  <si>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</si>
  <si>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</si>
  <si>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</si>
  <si>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</si>
  <si>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</si>
  <si>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</si>
  <si>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</si>
  <si>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</si>
  <si>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</si>
  <si>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</si>
  <si>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</si>
  <si>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</si>
  <si>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</si>
  <si>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</si>
  <si>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</si>
  <si>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</si>
  <si>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</si>
  <si>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</si>
  <si>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</si>
  <si>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</si>
  <si>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</si>
  <si>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</si>
  <si>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</si>
  <si>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</si>
  <si>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</si>
  <si>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</si>
  <si>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</si>
  <si>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</si>
  <si>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</si>
  <si>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</si>
  <si>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</si>
  <si>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</si>
  <si>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</si>
  <si>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</si>
  <si>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</si>
  <si>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</si>
  <si>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</si>
  <si>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</si>
  <si>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</si>
  <si>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</si>
  <si>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</si>
  <si>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</si>
  <si>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</si>
  <si>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</si>
  <si>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</si>
  <si>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</si>
  <si>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</si>
  <si>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</si>
  <si>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</si>
  <si>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</si>
  <si>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</si>
  <si>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</si>
  <si>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</si>
  <si>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</si>
  <si>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</si>
  <si>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</si>
  <si>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</si>
  <si>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</si>
  <si>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</si>
  <si>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</si>
  <si>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</si>
  <si>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</si>
  <si>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</si>
  <si>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</si>
  <si>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</si>
  <si>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</si>
  <si>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</si>
  <si>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</si>
  <si>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</si>
  <si>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</si>
  <si>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</si>
  <si>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</si>
  <si>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</si>
  <si>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</si>
  <si>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</si>
  <si>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</si>
  <si>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</si>
  <si>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</si>
  <si>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</si>
  <si>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</si>
  <si>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</si>
  <si>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</si>
  <si>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</si>
  <si>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</si>
  <si>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</si>
  <si>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</si>
  <si>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</si>
  <si>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</si>
  <si>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</si>
  <si>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</si>
  <si>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</si>
  <si>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</si>
  <si>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</si>
  <si>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</si>
  <si>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</si>
  <si>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</si>
  <si>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</si>
  <si>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</si>
  <si>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</si>
  <si>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</si>
  <si>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</si>
  <si>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</si>
  <si>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</si>
  <si>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</si>
  <si>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</si>
  <si>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</si>
  <si>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</si>
  <si>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</si>
  <si>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</si>
  <si>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</si>
  <si>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</si>
  <si>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</si>
  <si>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</si>
  <si>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</si>
  <si>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</si>
  <si>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</si>
  <si>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</si>
  <si>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</si>
  <si>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</si>
  <si>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</si>
  <si>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</si>
  <si>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</si>
  <si>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</si>
  <si>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</si>
  <si>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</si>
  <si>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</si>
  <si>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</si>
  <si>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</si>
  <si>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</si>
  <si>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</si>
  <si>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</si>
  <si>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</si>
  <si>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</si>
  <si>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</si>
  <si>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</si>
  <si>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</si>
  <si>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</si>
  <si>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</si>
  <si>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</si>
  <si>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</si>
  <si>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</si>
  <si>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</si>
  <si>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</si>
  <si>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</si>
  <si>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</si>
  <si>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</si>
  <si>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</si>
  <si>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</si>
  <si>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</si>
  <si>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</si>
  <si>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</si>
  <si>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</si>
  <si>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</si>
  <si>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</si>
  <si>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</si>
  <si>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</si>
  <si>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</si>
  <si>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</si>
  <si>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</si>
  <si>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</si>
  <si>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</si>
  <si>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</si>
  <si>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</si>
  <si>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</si>
  <si>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</si>
  <si>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</si>
  <si>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</si>
  <si>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</si>
  <si>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</si>
  <si>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</si>
  <si>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</si>
  <si>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</si>
  <si>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</si>
  <si>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</si>
  <si>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</si>
  <si>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</si>
  <si>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</si>
  <si>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</si>
  <si>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</si>
  <si>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</si>
  <si>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</si>
  <si>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</si>
  <si>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</si>
  <si>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</si>
  <si>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</si>
  <si>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</si>
  <si>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</si>
  <si>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</si>
  <si>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</si>
  <si>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</si>
  <si>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</si>
  <si>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</si>
  <si>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</si>
  <si>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</si>
  <si>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</si>
  <si>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</si>
  <si>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</si>
  <si>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</si>
  <si>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</si>
  <si>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</si>
  <si>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</si>
  <si>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</si>
  <si>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</si>
  <si>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</si>
  <si>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</si>
  <si>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</si>
  <si>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</si>
  <si>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</si>
  <si>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</si>
  <si>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</si>
  <si>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</si>
  <si>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</si>
  <si>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</si>
  <si>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</si>
  <si>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</si>
  <si>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</si>
  <si>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</si>
  <si>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</si>
  <si>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</si>
  <si>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</si>
  <si>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</si>
  <si>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</si>
  <si>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</si>
  <si>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</si>
  <si>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</si>
  <si>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</si>
  <si>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</si>
  <si>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</si>
  <si>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</si>
  <si>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</si>
  <si>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</si>
  <si>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</si>
  <si>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</si>
  <si>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</si>
  <si>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</si>
  <si>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</si>
  <si>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</si>
  <si>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</si>
  <si>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</si>
  <si>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</si>
  <si>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</si>
  <si>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</si>
  <si>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</si>
  <si>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</si>
  <si>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</si>
  <si>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</si>
  <si>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</si>
  <si>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</si>
  <si>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</si>
  <si>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</si>
  <si>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</si>
  <si>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</si>
  <si>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</si>
  <si>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</si>
  <si>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</si>
  <si>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</si>
  <si>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</si>
  <si>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</si>
  <si>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</si>
  <si>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</si>
  <si>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</si>
  <si>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</si>
  <si>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</si>
  <si>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</si>
  <si>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</si>
  <si>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</si>
  <si>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</si>
  <si>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</si>
  <si>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</si>
  <si>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</si>
  <si>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</si>
  <si>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</si>
  <si>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</si>
  <si>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</si>
  <si>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</si>
  <si>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</si>
  <si>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</si>
  <si>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</si>
  <si>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</si>
  <si>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</si>
  <si>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</si>
  <si>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</si>
  <si>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</si>
  <si>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</si>
  <si>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</si>
  <si>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</si>
  <si>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</si>
  <si>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</si>
  <si>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</si>
  <si>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</si>
  <si>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</si>
  <si>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</si>
  <si>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</si>
  <si>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</si>
  <si>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</si>
  <si>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</si>
  <si>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</si>
  <si>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</si>
  <si>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</si>
  <si>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</si>
  <si>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</si>
  <si>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</si>
  <si>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</si>
  <si>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</si>
  <si>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</si>
  <si>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</si>
  <si>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</si>
  <si>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</si>
  <si>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</si>
  <si>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</si>
  <si>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</si>
  <si>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</si>
  <si>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</si>
  <si>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</si>
  <si>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</si>
  <si>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</si>
  <si>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</si>
  <si>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</si>
  <si>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</si>
  <si>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</si>
  <si>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</si>
  <si>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</si>
  <si>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</si>
  <si>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</si>
  <si>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</si>
  <si>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</si>
  <si>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</si>
  <si>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</si>
  <si>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</si>
  <si>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</si>
  <si>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</si>
  <si>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</si>
  <si>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</si>
  <si>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</si>
  <si>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</si>
  <si>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</si>
  <si>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</si>
  <si>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</si>
  <si>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</si>
  <si>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</si>
  <si>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</si>
  <si>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</si>
  <si>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</si>
  <si>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</si>
  <si>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</si>
  <si>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</si>
  <si>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</si>
  <si>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</si>
  <si>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</si>
  <si>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</si>
  <si>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</si>
  <si>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</si>
  <si>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</si>
  <si>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</si>
  <si>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</si>
  <si>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</si>
  <si>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</si>
  <si>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</si>
  <si>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</si>
  <si>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</si>
  <si>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</si>
  <si>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</si>
  <si>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</si>
  <si>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</si>
  <si>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</si>
  <si>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</si>
  <si>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</si>
  <si>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</si>
  <si>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</si>
  <si>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</si>
  <si>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</si>
  <si>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</si>
  <si>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</si>
  <si>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</si>
  <si>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</si>
  <si>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</si>
  <si>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</si>
  <si>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</si>
  <si>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</si>
  <si>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</si>
  <si>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</si>
  <si>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</si>
  <si>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</si>
  <si>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</si>
  <si>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</si>
  <si>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</si>
  <si>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</si>
  <si>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</si>
  <si>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</si>
  <si>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</si>
  <si>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</si>
  <si>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</si>
  <si>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</si>
  <si>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</si>
  <si>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</si>
  <si>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</si>
  <si>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</si>
  <si>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</si>
  <si>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</si>
  <si>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</si>
  <si>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</si>
  <si>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</si>
  <si>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</si>
  <si>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</si>
  <si>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</si>
  <si>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</si>
  <si>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</si>
  <si>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</si>
  <si>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</si>
  <si>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</si>
  <si>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</si>
  <si>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</si>
  <si>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</si>
  <si>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</si>
  <si>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</si>
  <si>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</si>
  <si>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</si>
  <si>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</si>
  <si>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</si>
  <si>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</si>
  <si>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</si>
  <si>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</si>
  <si>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</si>
  <si>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</si>
  <si>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</si>
  <si>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</si>
  <si>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</si>
  <si>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</si>
  <si>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</si>
  <si>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</si>
  <si>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</si>
  <si>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</si>
  <si>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</si>
  <si>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</si>
  <si>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</si>
  <si>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</si>
  <si>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</si>
  <si>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</si>
  <si>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</si>
  <si>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</si>
  <si>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</si>
  <si>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</si>
  <si>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</si>
  <si>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</si>
  <si>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</si>
  <si>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</si>
  <si>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</si>
  <si>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</si>
  <si>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</si>
  <si>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</si>
  <si>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</si>
  <si>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</si>
  <si>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</si>
  <si>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</si>
  <si>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</si>
  <si>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</si>
  <si>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</si>
  <si>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</si>
  <si>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</si>
  <si>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</si>
  <si>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</si>
  <si>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</si>
  <si>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</si>
  <si>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</si>
  <si>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</si>
  <si>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</si>
  <si>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</si>
  <si>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</si>
  <si>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</si>
  <si>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</si>
  <si>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</si>
  <si>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</si>
  <si>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</si>
  <si>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</si>
  <si>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</si>
  <si>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</si>
  <si>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</si>
  <si>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</si>
  <si>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</si>
  <si>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</si>
  <si>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</si>
  <si>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</si>
  <si>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</si>
  <si>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</si>
  <si>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</si>
  <si>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</si>
  <si>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</si>
  <si>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</si>
  <si>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</si>
  <si>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</si>
  <si>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</si>
  <si>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</si>
  <si>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</si>
  <si>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</si>
  <si>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</si>
  <si>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</si>
  <si>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</si>
  <si>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</si>
  <si>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</si>
  <si>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</si>
  <si>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</si>
  <si>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</si>
  <si>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</si>
  <si>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</si>
  <si>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</si>
  <si>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</si>
  <si>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</si>
  <si>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</si>
  <si>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</si>
  <si>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</si>
  <si>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</si>
  <si>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</si>
  <si>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</si>
  <si>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</si>
  <si>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</si>
  <si>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</si>
  <si>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</si>
  <si>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</si>
  <si>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</si>
  <si>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</si>
  <si>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</si>
  <si>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</si>
  <si>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</si>
  <si>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</si>
  <si>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</si>
  <si>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</si>
  <si>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</si>
  <si>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</si>
  <si>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</si>
  <si>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</si>
  <si>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</si>
  <si>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</si>
  <si>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</si>
  <si>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</si>
  <si>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</si>
  <si>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</si>
  <si>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</si>
  <si>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</si>
  <si>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</si>
  <si>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</si>
  <si>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</si>
  <si>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</si>
  <si>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</si>
  <si>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</si>
  <si>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</si>
  <si>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</si>
  <si>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</si>
  <si>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</si>
  <si>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</si>
  <si>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</si>
  <si>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</si>
  <si>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</si>
  <si>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</si>
  <si>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</si>
  <si>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</si>
  <si>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</si>
  <si>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</si>
  <si>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</si>
  <si>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</si>
  <si>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</si>
  <si>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</si>
  <si>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</si>
  <si>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</si>
  <si>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</si>
  <si>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</si>
  <si>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</si>
  <si>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</si>
  <si>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</si>
  <si>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</si>
  <si>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</si>
  <si>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</si>
  <si>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</si>
  <si>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</si>
  <si>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</si>
  <si>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</si>
  <si>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</si>
  <si>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</si>
  <si>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</si>
  <si>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</si>
  <si>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</si>
  <si>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</si>
  <si>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</si>
  <si>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</si>
  <si>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</si>
  <si>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</si>
  <si>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</si>
  <si>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</si>
  <si>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</si>
  <si>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</si>
  <si>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</si>
  <si>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</si>
  <si>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</si>
  <si>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</si>
  <si>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</si>
  <si>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</si>
  <si>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</si>
  <si>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</si>
  <si>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</si>
  <si>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</si>
  <si>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</si>
  <si>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</si>
  <si>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</si>
  <si>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</si>
  <si>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</si>
  <si>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</si>
  <si>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</si>
  <si>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</si>
  <si>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</si>
  <si>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</si>
  <si>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</si>
  <si>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</si>
  <si>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</si>
  <si>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</si>
  <si>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</si>
  <si>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</si>
  <si>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</si>
  <si>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</si>
  <si>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</si>
  <si>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</si>
  <si>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</si>
  <si>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</si>
  <si>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</si>
  <si>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</si>
  <si>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</si>
  <si>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</si>
  <si>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</si>
  <si>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</si>
  <si>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</si>
  <si>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</si>
  <si>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</si>
  <si>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</si>
  <si>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</si>
  <si>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</si>
  <si>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</si>
  <si>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</si>
  <si>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</si>
  <si>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</si>
  <si>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</si>
  <si>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</si>
  <si>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</si>
  <si>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</si>
  <si>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</si>
  <si>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</si>
  <si>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</si>
  <si>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</si>
  <si>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</si>
  <si>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</si>
  <si>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</si>
  <si>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</si>
  <si>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</si>
  <si>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</si>
  <si>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</si>
  <si>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</si>
  <si>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</si>
  <si>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</si>
  <si>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</si>
  <si>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</si>
  <si>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</si>
  <si>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</si>
  <si>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</si>
  <si>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</si>
  <si>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</si>
  <si>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</si>
  <si>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</si>
  <si>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</si>
  <si>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</si>
  <si>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</si>
  <si>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</si>
  <si>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</si>
  <si>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</si>
  <si>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</si>
  <si>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</si>
  <si>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</si>
  <si>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</si>
  <si>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</si>
  <si>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</si>
  <si>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</si>
  <si>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</si>
  <si>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</si>
  <si>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</si>
  <si>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</si>
  <si>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</si>
  <si>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</si>
  <si>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</si>
  <si>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</si>
  <si>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</si>
  <si>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</si>
  <si>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</si>
  <si>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</si>
  <si>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</si>
  <si>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</si>
  <si>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</si>
  <si>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</si>
  <si>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</si>
  <si>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</si>
  <si>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</si>
  <si>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</si>
  <si>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</si>
  <si>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</si>
  <si>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</si>
  <si>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</si>
  <si>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</si>
  <si>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</si>
  <si>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</si>
  <si>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</si>
  <si>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</si>
  <si>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</si>
  <si>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</si>
  <si>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</si>
  <si>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</si>
  <si>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</si>
  <si>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</si>
  <si>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</si>
  <si>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</si>
  <si>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</si>
  <si>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</si>
  <si>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</si>
  <si>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</si>
  <si>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</si>
  <si>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</si>
  <si>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</si>
  <si>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</si>
  <si>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</si>
  <si>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</si>
  <si>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</si>
  <si>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</si>
  <si>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</si>
  <si>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</si>
  <si>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</si>
  <si>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</si>
  <si>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</si>
  <si>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</si>
  <si>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</si>
  <si>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</si>
  <si>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</si>
  <si>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</si>
  <si>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</si>
  <si>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</si>
  <si>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</si>
  <si>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</si>
  <si>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</si>
  <si>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</si>
  <si>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</si>
  <si>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</si>
  <si>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</si>
  <si>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</si>
  <si>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</si>
  <si>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</si>
  <si>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</si>
  <si>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</si>
  <si>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</si>
  <si>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</si>
  <si>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</si>
  <si>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</si>
  <si>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</si>
  <si>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</si>
  <si>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</si>
  <si>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</si>
  <si>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</si>
  <si>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</si>
  <si>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</si>
  <si>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</si>
  <si>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</si>
  <si>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</si>
  <si>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</si>
  <si>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</si>
  <si>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</si>
  <si>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</si>
  <si>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</si>
  <si>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</si>
  <si>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</si>
  <si>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</si>
  <si>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</si>
  <si>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</si>
  <si>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</si>
  <si>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</si>
  <si>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</si>
  <si>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</si>
  <si>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</si>
  <si>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</si>
  <si>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</si>
  <si>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</si>
  <si>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</si>
  <si>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</si>
  <si>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</si>
  <si>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</si>
  <si>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</si>
  <si>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</si>
  <si>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</si>
  <si>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</si>
  <si>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</si>
  <si>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</si>
  <si>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</si>
  <si>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</si>
  <si>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</si>
  <si>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</si>
  <si>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</si>
  <si>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</si>
  <si>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</si>
  <si>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</si>
  <si>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</si>
  <si>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</si>
  <si>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</si>
  <si>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</si>
  <si>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</si>
  <si>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</si>
  <si>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</si>
  <si>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</si>
  <si>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</si>
  <si>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</si>
  <si>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</si>
  <si>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</si>
  <si>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</si>
  <si>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</si>
  <si>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</si>
  <si>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</si>
  <si>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</si>
  <si>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</si>
  <si>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</si>
  <si>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</si>
  <si>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</si>
  <si>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</si>
  <si>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</si>
  <si>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</si>
  <si>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</si>
  <si>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</si>
  <si>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</si>
  <si>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</si>
  <si>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</si>
  <si>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</si>
  <si>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</si>
  <si>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</si>
  <si>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</si>
  <si>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</si>
  <si>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</si>
  <si>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</si>
  <si>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</si>
  <si>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</si>
  <si>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</si>
  <si>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</si>
  <si>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</si>
  <si>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</si>
  <si>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</si>
  <si>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</si>
  <si>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</si>
  <si>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</si>
  <si>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</si>
  <si>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</si>
  <si>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</si>
  <si>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</si>
  <si>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</si>
  <si>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</si>
  <si>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</si>
  <si>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</si>
  <si>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</si>
  <si>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</si>
  <si>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</si>
  <si>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</si>
  <si>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</si>
  <si>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</si>
  <si>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</si>
  <si>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</si>
  <si>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</si>
  <si>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</si>
  <si>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</si>
  <si>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</si>
  <si>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</si>
  <si>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</si>
  <si>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</si>
  <si>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</si>
  <si>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</si>
  <si>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</si>
  <si>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</si>
  <si>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</si>
  <si>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</si>
  <si>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</si>
  <si>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</si>
  <si>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</si>
  <si>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</si>
  <si>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</si>
  <si>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</si>
  <si>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</si>
  <si>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</si>
  <si>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</si>
  <si>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</si>
  <si>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</si>
  <si>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</si>
  <si>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</si>
  <si>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</si>
  <si>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</si>
  <si>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</si>
  <si>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</si>
  <si>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</si>
  <si>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</si>
  <si>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</si>
  <si>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</si>
  <si>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</si>
  <si>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</si>
  <si>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</si>
  <si>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</si>
  <si>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</si>
  <si>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</si>
  <si>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</si>
  <si>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</si>
  <si>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</si>
  <si>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</si>
  <si>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</si>
  <si>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</si>
  <si>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</si>
  <si>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</si>
  <si>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</si>
  <si>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</si>
  <si>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</si>
  <si>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</si>
  <si>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</si>
  <si>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</si>
  <si>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</si>
  <si>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</si>
  <si>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</si>
  <si>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</si>
  <si>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</si>
  <si>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</si>
  <si>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</si>
  <si>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</si>
  <si>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</si>
  <si>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</si>
  <si>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</si>
  <si>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</si>
  <si>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</si>
  <si>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</si>
  <si>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</si>
  <si>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</si>
  <si>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</si>
  <si>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</si>
  <si>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</si>
  <si>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</si>
  <si>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</si>
  <si>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</si>
  <si>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</si>
  <si>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</si>
  <si>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</si>
  <si>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</si>
  <si>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</si>
  <si>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</si>
  <si>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</si>
  <si>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</si>
  <si>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</si>
  <si>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</si>
  <si>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</si>
  <si>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</si>
  <si>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</si>
  <si>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</si>
  <si>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</si>
  <si>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</si>
  <si>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</si>
  <si>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</si>
  <si>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</si>
  <si>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</si>
  <si>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</si>
  <si>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</si>
  <si>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</si>
  <si>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</si>
  <si>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</si>
  <si>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</si>
  <si>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</si>
  <si>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</si>
  <si>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</si>
  <si>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</si>
  <si>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</si>
  <si>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</si>
  <si>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</si>
  <si>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</si>
  <si>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</si>
  <si>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</si>
  <si>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</si>
  <si>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</si>
  <si>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</si>
  <si>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</si>
  <si>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</si>
  <si>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</si>
  <si>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</si>
  <si>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</si>
  <si>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</si>
  <si>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</si>
  <si>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</si>
  <si>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</si>
  <si>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</si>
  <si>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</si>
  <si>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</si>
  <si>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</si>
  <si>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</si>
  <si>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</si>
  <si>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</si>
  <si>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</si>
  <si>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</si>
  <si>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</si>
  <si>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</si>
  <si>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</si>
  <si>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</si>
  <si>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</si>
  <si>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</si>
  <si>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</si>
  <si>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</si>
  <si>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</si>
  <si>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</si>
  <si>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</si>
  <si>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</si>
  <si>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</si>
  <si>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</si>
  <si>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</si>
  <si>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</si>
  <si>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</si>
  <si>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</si>
  <si>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</si>
  <si>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</si>
  <si>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</si>
  <si>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</si>
  <si>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</si>
  <si>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</si>
  <si>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</si>
  <si>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</si>
  <si>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</si>
  <si>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</si>
  <si>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</si>
  <si>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</si>
  <si>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</si>
  <si>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</si>
  <si>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</si>
  <si>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</si>
  <si>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</si>
  <si>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</si>
  <si>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</si>
  <si>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</si>
  <si>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</si>
  <si>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</si>
  <si>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</si>
  <si>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</si>
  <si>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</si>
  <si>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</si>
  <si>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</si>
  <si>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</si>
  <si>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</si>
  <si>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</si>
  <si>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</si>
  <si>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</si>
  <si>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</si>
  <si>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</si>
  <si>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</si>
  <si>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</si>
  <si>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</si>
  <si>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</si>
  <si>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</si>
  <si>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</si>
  <si>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</si>
  <si>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</si>
  <si>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</si>
  <si>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</si>
  <si>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</si>
  <si>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</si>
  <si>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</si>
  <si>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</si>
  <si>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</si>
  <si>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</si>
  <si>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</si>
  <si>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</si>
  <si>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</si>
  <si>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</si>
  <si>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</si>
  <si>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</si>
  <si>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</si>
  <si>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</si>
  <si>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</si>
  <si>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</si>
  <si>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</si>
  <si>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</si>
  <si>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</si>
  <si>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</si>
  <si>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</si>
  <si>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</si>
  <si>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</si>
  <si>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</si>
  <si>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</si>
  <si>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</si>
  <si>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</si>
  <si>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</si>
  <si>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</si>
  <si>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</si>
  <si>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</si>
  <si>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</si>
  <si>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</si>
  <si>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</si>
  <si>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</si>
  <si>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</si>
  <si>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</si>
  <si>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</si>
  <si>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</si>
  <si>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</si>
  <si>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</si>
  <si>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</si>
  <si>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</si>
  <si>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</si>
  <si>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</si>
  <si>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</si>
  <si>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</si>
  <si>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</si>
  <si>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</si>
  <si>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</si>
  <si>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</si>
  <si>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</si>
  <si>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</si>
  <si>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</si>
  <si>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</si>
  <si>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</si>
  <si>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</si>
  <si>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</si>
  <si>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</si>
  <si>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</si>
  <si>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</si>
  <si>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</si>
  <si>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</si>
  <si>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</si>
  <si>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</si>
  <si>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</si>
  <si>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</si>
  <si>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</si>
  <si>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</si>
  <si>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</si>
  <si>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</si>
  <si>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</si>
  <si>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</si>
  <si>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</si>
  <si>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</si>
  <si>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</si>
  <si>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</si>
  <si>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</si>
  <si>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</si>
  <si>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</si>
  <si>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</si>
  <si>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</si>
  <si>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</si>
  <si>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</si>
  <si>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</si>
  <si>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</si>
  <si>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</si>
  <si>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</si>
  <si>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</si>
  <si>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</si>
  <si>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</si>
  <si>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</si>
  <si>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</si>
  <si>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</si>
  <si>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</si>
  <si>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</si>
  <si>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</si>
  <si>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</si>
  <si>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</si>
  <si>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</si>
  <si>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</si>
  <si>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</si>
  <si>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</si>
  <si>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</si>
  <si>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</si>
  <si>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</si>
  <si>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</si>
  <si>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</si>
  <si>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</si>
  <si>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</si>
  <si>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</si>
  <si>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</si>
  <si>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</si>
  <si>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</si>
  <si>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</si>
  <si>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</si>
  <si>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</si>
  <si>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</si>
  <si>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</si>
  <si>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</si>
  <si>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</si>
  <si>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</si>
  <si>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</si>
  <si>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</si>
  <si>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</si>
  <si>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</si>
  <si>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</si>
  <si>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</si>
  <si>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</si>
  <si>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</si>
  <si>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</si>
  <si>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</si>
  <si>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</si>
  <si>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</si>
  <si>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</si>
  <si>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</si>
  <si>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</si>
  <si>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</si>
  <si>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</si>
  <si>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</si>
  <si>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</si>
  <si>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</si>
  <si>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</si>
  <si>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</si>
  <si>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</si>
  <si>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</si>
  <si>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</si>
  <si>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</si>
  <si>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</si>
  <si>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</si>
  <si>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</si>
  <si>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</si>
  <si>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</si>
  <si>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</si>
  <si>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</si>
  <si>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</si>
  <si>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</si>
  <si>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</si>
  <si>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</si>
  <si>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</si>
  <si>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</si>
  <si>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</si>
  <si>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</si>
  <si>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</si>
  <si>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</si>
  <si>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</si>
  <si>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</si>
  <si>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</si>
  <si>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</si>
  <si>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</si>
  <si>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</si>
  <si>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</si>
  <si>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</si>
  <si>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</si>
  <si>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</si>
  <si>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</si>
  <si>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</si>
  <si>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</si>
  <si>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</si>
  <si>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</si>
  <si>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</si>
  <si>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</si>
  <si>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</si>
  <si>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</si>
  <si>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</si>
  <si>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</si>
  <si>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</si>
  <si>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</si>
  <si>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</si>
  <si>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</si>
  <si>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</si>
  <si>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</si>
  <si>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</si>
  <si>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</si>
  <si>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</si>
  <si>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</si>
  <si>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</si>
  <si>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</si>
  <si>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</si>
  <si>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</si>
  <si>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</si>
  <si>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</si>
  <si>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</si>
  <si>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</si>
  <si>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</si>
  <si>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</si>
  <si>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</si>
  <si>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</si>
  <si>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</si>
  <si>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</si>
  <si>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</si>
  <si>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</si>
  <si>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</si>
  <si>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</si>
  <si>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</si>
  <si>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</si>
  <si>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</si>
  <si>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</si>
  <si>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</si>
  <si>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</si>
  <si>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</si>
  <si>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</si>
  <si>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</si>
  <si>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</si>
  <si>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</si>
  <si>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</si>
  <si>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</si>
  <si>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</si>
  <si>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</si>
  <si>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</si>
  <si>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</si>
  <si>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</si>
  <si>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</si>
  <si>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</si>
  <si>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</si>
  <si>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</si>
  <si>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</si>
  <si>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</si>
  <si>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</si>
  <si>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</si>
  <si>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</si>
  <si>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</si>
  <si>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</si>
  <si>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</si>
  <si>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</si>
  <si>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</si>
  <si>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</si>
  <si>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</si>
  <si>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</si>
  <si>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</si>
  <si>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</si>
  <si>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</si>
  <si>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</si>
  <si>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</si>
  <si>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</si>
  <si>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</si>
  <si>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</si>
  <si>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</si>
  <si>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</si>
  <si>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</si>
  <si>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</si>
  <si>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</si>
  <si>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</si>
  <si>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</si>
  <si>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</si>
  <si>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</si>
  <si>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</si>
  <si>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</si>
  <si>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</si>
  <si>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</si>
  <si>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</si>
  <si>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</si>
  <si>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</si>
  <si>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</si>
  <si>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</si>
  <si>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</si>
  <si>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</si>
  <si>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</si>
  <si>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</si>
  <si>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</si>
  <si>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</si>
  <si>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</si>
  <si>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</si>
  <si>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</si>
  <si>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</si>
  <si>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</si>
  <si>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</si>
  <si>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</si>
  <si>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</si>
  <si>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</si>
  <si>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</si>
  <si>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</si>
  <si>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</si>
  <si>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</si>
  <si>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</si>
  <si>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</si>
  <si>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</si>
  <si>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</si>
  <si>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</si>
  <si>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</si>
  <si>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</si>
  <si>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</si>
  <si>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</si>
  <si>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</si>
  <si>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</si>
  <si>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</si>
  <si>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</si>
  <si>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</si>
  <si>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</si>
  <si>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</si>
  <si>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</si>
  <si>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</si>
  <si>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</si>
  <si>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</si>
  <si>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</si>
  <si>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</si>
  <si>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</si>
  <si>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</si>
  <si>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</si>
  <si>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</si>
  <si>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</si>
  <si>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</si>
  <si>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</si>
  <si>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</si>
  <si>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</si>
  <si>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</si>
  <si>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</si>
  <si>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</si>
  <si>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</si>
  <si>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</si>
  <si>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</si>
  <si>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</si>
  <si>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</si>
  <si>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</si>
  <si>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</si>
  <si>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</si>
  <si>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</si>
  <si>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</si>
  <si>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</si>
  <si>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</si>
  <si>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</si>
  <si>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</si>
  <si>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</si>
  <si>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</si>
  <si>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</si>
  <si>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</si>
  <si>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</si>
  <si>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</si>
  <si>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</si>
  <si>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</si>
  <si>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</si>
  <si>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</si>
  <si>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</si>
  <si>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</si>
  <si>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</si>
  <si>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</si>
  <si>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</si>
  <si>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</si>
  <si>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</si>
  <si>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</si>
  <si>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</si>
  <si>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</si>
  <si>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</si>
  <si>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</si>
  <si>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</si>
  <si>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</si>
  <si>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</si>
  <si>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</si>
  <si>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</si>
  <si>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</si>
  <si>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</si>
  <si>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</si>
  <si>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</si>
  <si>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</si>
  <si>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</si>
  <si>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</si>
  <si>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</si>
  <si>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</si>
  <si>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</si>
  <si>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</si>
  <si>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</si>
  <si>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</si>
  <si>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</si>
  <si>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</si>
  <si>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</si>
  <si>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</si>
  <si>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</si>
  <si>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</si>
  <si>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</si>
  <si>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</si>
  <si>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</si>
  <si>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</si>
  <si>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</si>
  <si>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</si>
  <si>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</si>
  <si>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</si>
  <si>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</si>
  <si>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</si>
  <si>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</si>
  <si>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</si>
  <si>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</si>
  <si>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</si>
  <si>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</si>
  <si>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</si>
  <si>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</si>
  <si>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</si>
  <si>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</si>
  <si>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</si>
  <si>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</si>
  <si>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</si>
  <si>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</si>
  <si>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</si>
  <si>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</si>
  <si>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</si>
  <si>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</si>
  <si>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</si>
  <si>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</si>
  <si>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</si>
  <si>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</si>
  <si>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</si>
  <si>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</si>
  <si>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</si>
  <si>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</si>
  <si>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</si>
  <si>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</si>
  <si>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</si>
  <si>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</si>
  <si>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</si>
  <si>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</si>
  <si>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</si>
  <si>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</si>
  <si>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</si>
  <si>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</si>
  <si>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</si>
  <si>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</si>
  <si>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</si>
  <si>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</si>
  <si>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</si>
  <si>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</si>
  <si>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</si>
  <si>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</si>
  <si>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</si>
  <si>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</si>
  <si>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</si>
  <si>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</si>
  <si>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</si>
  <si>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</si>
  <si>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</si>
  <si>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</si>
  <si>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</si>
  <si>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</si>
  <si>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</si>
  <si>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</si>
  <si>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</si>
  <si>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</si>
  <si>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</si>
  <si>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</si>
  <si>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</si>
  <si>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</si>
  <si>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</si>
  <si>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</si>
  <si>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</si>
  <si>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</si>
  <si>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</si>
  <si>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</si>
  <si>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</si>
  <si>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</si>
  <si>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</si>
  <si>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</si>
  <si>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</si>
  <si>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</si>
  <si>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</si>
  <si>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</si>
  <si>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</si>
  <si>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</si>
  <si>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</si>
  <si>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</si>
  <si>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</si>
  <si>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</si>
  <si>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</si>
  <si>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</si>
  <si>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</si>
  <si>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</si>
  <si>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</si>
  <si>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</si>
  <si>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</si>
  <si>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</si>
  <si>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</si>
  <si>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</si>
  <si>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</si>
  <si>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</si>
  <si>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</si>
  <si>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</si>
  <si>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</si>
  <si>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</si>
  <si>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</si>
  <si>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</si>
  <si>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</si>
  <si>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</si>
  <si>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</si>
  <si>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</si>
  <si>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</si>
  <si>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</si>
  <si>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</si>
  <si>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</si>
  <si>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</si>
  <si>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</si>
  <si>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</si>
  <si>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</si>
  <si>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</si>
  <si>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</si>
  <si>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</si>
  <si>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</si>
  <si>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</si>
  <si>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</si>
  <si>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</si>
  <si>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</si>
  <si>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</si>
  <si>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</si>
  <si>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</si>
  <si>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</si>
  <si>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</si>
  <si>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</si>
  <si>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</si>
  <si>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</si>
  <si>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</si>
  <si>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</si>
  <si>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</si>
  <si>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</si>
  <si>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</si>
  <si>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</si>
  <si>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</si>
  <si>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</si>
  <si>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</si>
  <si>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</si>
  <si>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</si>
  <si>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</si>
  <si>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</si>
  <si>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</si>
  <si>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</si>
  <si>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</si>
  <si>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</si>
  <si>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</si>
  <si>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</si>
  <si>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</si>
  <si>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</si>
  <si>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</si>
  <si>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</si>
  <si>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</si>
  <si>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</si>
  <si>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</si>
  <si>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</si>
  <si>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</si>
  <si>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</si>
  <si>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</si>
  <si>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</si>
  <si>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</si>
  <si>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</si>
  <si>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</si>
  <si>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</si>
  <si>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</si>
  <si>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</si>
  <si>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</si>
  <si>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</si>
  <si>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</si>
  <si>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</si>
  <si>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</si>
  <si>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</si>
  <si>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</si>
  <si>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</si>
  <si>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</si>
  <si>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</si>
  <si>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</si>
  <si>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</si>
  <si>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</si>
  <si>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</si>
  <si>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</si>
  <si>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</si>
  <si>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</si>
  <si>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</si>
  <si>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</si>
  <si>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</si>
  <si>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</si>
  <si>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</si>
  <si>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</si>
  <si>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</si>
  <si>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</si>
  <si>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</si>
  <si>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</si>
  <si>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</si>
  <si>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</si>
  <si>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</si>
  <si>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</si>
  <si>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</si>
  <si>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</si>
  <si>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</si>
  <si>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</si>
  <si>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</si>
  <si>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</si>
  <si>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</si>
  <si>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</si>
  <si>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</si>
  <si>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</si>
  <si>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</si>
  <si>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</si>
  <si>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</si>
  <si>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</si>
  <si>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</si>
  <si>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</si>
  <si>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</si>
  <si>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</si>
  <si>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</si>
  <si>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</si>
  <si>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</si>
  <si>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</si>
  <si>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</si>
  <si>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</si>
  <si>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</si>
  <si>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</si>
  <si>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</si>
  <si>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</si>
  <si>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</si>
  <si>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</si>
  <si>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</si>
  <si>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</si>
  <si>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</si>
  <si>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</si>
  <si>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</si>
  <si>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</si>
  <si>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</si>
  <si>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</si>
  <si>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</si>
  <si>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</si>
  <si>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</si>
  <si>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</si>
  <si>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</si>
  <si>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</si>
  <si>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</si>
  <si>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</si>
  <si>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</si>
  <si>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</si>
  <si>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</si>
  <si>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</si>
  <si>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</si>
  <si>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</si>
  <si>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</si>
  <si>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</si>
  <si>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</si>
  <si>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</si>
  <si>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</si>
  <si>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</si>
  <si>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</si>
  <si>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</si>
  <si>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</si>
  <si>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</si>
  <si>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</si>
  <si>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</si>
  <si>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</si>
  <si>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</si>
  <si>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</si>
  <si>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</si>
  <si>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</si>
  <si>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</si>
  <si>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</si>
  <si>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</si>
  <si>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</si>
  <si>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</si>
  <si>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</si>
  <si>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</si>
  <si>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</si>
  <si>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</si>
  <si>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</si>
  <si>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</si>
  <si>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</si>
  <si>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</si>
  <si>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</si>
  <si>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</si>
  <si>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</si>
  <si>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</si>
  <si>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</si>
  <si>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</si>
  <si>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</si>
  <si>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</si>
  <si>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</si>
  <si>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</si>
  <si>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</si>
  <si>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</si>
  <si>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</si>
  <si>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</si>
  <si>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</si>
  <si>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</si>
  <si>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</si>
  <si>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</si>
  <si>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</si>
  <si>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</si>
  <si>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</si>
  <si>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</si>
  <si>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</si>
  <si>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</si>
  <si>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</si>
  <si>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</si>
  <si>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</si>
  <si>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</si>
  <si>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</si>
  <si>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</si>
  <si>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</si>
  <si>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</si>
  <si>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</si>
  <si>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</si>
  <si>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</si>
  <si>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</si>
  <si>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</si>
  <si>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</si>
  <si>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</si>
  <si>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</si>
  <si>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</si>
  <si>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</si>
  <si>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</si>
  <si>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</si>
  <si>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</si>
  <si>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</si>
  <si>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</si>
  <si>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</si>
  <si>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</si>
  <si>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</si>
  <si>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</si>
  <si>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</si>
  <si>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</si>
  <si>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</si>
  <si>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</si>
  <si>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</si>
  <si>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</si>
  <si>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</si>
  <si>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</si>
  <si>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</si>
  <si>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</si>
  <si>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</si>
  <si>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</si>
  <si>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</si>
  <si>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</si>
  <si>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</si>
  <si>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</si>
  <si>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</si>
  <si>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</si>
  <si>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</si>
  <si>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</si>
  <si>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</si>
  <si>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</si>
  <si>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</si>
  <si>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</si>
  <si>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</si>
  <si>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</si>
  <si>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</si>
  <si>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</si>
  <si>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</si>
  <si>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</si>
  <si>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</si>
  <si>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</si>
  <si>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</si>
  <si>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</si>
  <si>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</si>
  <si>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</si>
  <si>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</si>
  <si>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</si>
  <si>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</si>
  <si>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</si>
  <si>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</si>
  <si>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</si>
  <si>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</si>
  <si>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</si>
  <si>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</si>
  <si>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</si>
  <si>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</si>
  <si>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</si>
  <si>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</si>
  <si>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</si>
  <si>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</si>
  <si>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</si>
  <si>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</si>
  <si>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</si>
  <si>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</si>
  <si>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</si>
  <si>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</si>
  <si>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</si>
  <si>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</si>
  <si>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</si>
  <si>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</si>
  <si>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</si>
  <si>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</si>
  <si>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</si>
  <si>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</si>
  <si>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</si>
  <si>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</si>
  <si>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</si>
  <si>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</si>
  <si>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</si>
  <si>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</si>
  <si>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</si>
  <si>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</si>
  <si>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</si>
  <si>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</si>
  <si>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</si>
  <si>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</si>
  <si>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</si>
  <si>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</si>
  <si>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</si>
  <si>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</si>
  <si>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</si>
  <si>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</si>
  <si>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</si>
  <si>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</si>
  <si>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</si>
  <si>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</si>
  <si>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</si>
  <si>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</si>
  <si>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</si>
  <si>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</si>
  <si>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</si>
  <si>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</si>
  <si>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</si>
  <si>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</si>
  <si>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</si>
  <si>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</si>
  <si>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</si>
  <si>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</si>
  <si>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</si>
  <si>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</si>
  <si>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</si>
  <si>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</si>
  <si>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</si>
  <si>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</si>
  <si>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</si>
  <si>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</si>
  <si>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</si>
  <si>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</si>
  <si>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</si>
  <si>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</si>
  <si>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</si>
  <si>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</si>
  <si>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</si>
  <si>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</si>
  <si>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</si>
  <si>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</si>
  <si>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</si>
  <si>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</si>
  <si>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</si>
  <si>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</si>
  <si>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</si>
  <si>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</si>
  <si>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</si>
  <si>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</si>
  <si>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</si>
  <si>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</si>
  <si>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</si>
  <si>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</si>
  <si>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</si>
  <si>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</si>
  <si>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</si>
  <si>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</si>
  <si>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</si>
  <si>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</si>
  <si>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</si>
  <si>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</si>
  <si>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</si>
  <si>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</si>
  <si>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</si>
  <si>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</si>
  <si>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</si>
  <si>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</si>
  <si>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</si>
  <si>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</si>
  <si>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</si>
  <si>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</si>
  <si>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</si>
  <si>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</si>
  <si>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</si>
  <si>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</si>
  <si>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</si>
  <si>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</si>
  <si>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</si>
  <si>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</si>
  <si>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</si>
  <si>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</si>
  <si>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</si>
  <si>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</si>
  <si>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</si>
  <si>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</si>
  <si>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</si>
  <si>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</si>
  <si>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</si>
  <si>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</si>
  <si>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</si>
  <si>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</si>
  <si>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</si>
  <si>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</si>
  <si>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</si>
  <si>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</si>
  <si>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</si>
  <si>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</si>
  <si>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</si>
  <si>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</si>
  <si>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</si>
  <si>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</si>
  <si>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</si>
  <si>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</si>
  <si>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</si>
  <si>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</si>
  <si>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</si>
  <si>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</si>
  <si>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</si>
  <si>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</si>
  <si>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</si>
  <si>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</si>
  <si>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</si>
  <si>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</si>
  <si>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</si>
  <si>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</si>
  <si>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</si>
  <si>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</si>
  <si>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</si>
  <si>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</si>
  <si>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</si>
  <si>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</si>
  <si>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</si>
  <si>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</si>
  <si>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</si>
  <si>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</si>
  <si>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</si>
  <si>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</si>
  <si>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</si>
  <si>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</si>
  <si>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</si>
  <si>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</si>
  <si>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</si>
  <si>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</si>
  <si>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</si>
  <si>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</si>
  <si>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</si>
  <si>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</si>
  <si>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</si>
  <si>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</si>
  <si>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</si>
  <si>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</si>
  <si>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</si>
  <si>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</si>
  <si>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</si>
  <si>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</si>
  <si>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</si>
  <si>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</si>
  <si>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</si>
  <si>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</si>
  <si>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</si>
  <si>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</si>
  <si>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</si>
  <si>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</si>
  <si>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</si>
  <si>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</si>
  <si>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</si>
  <si>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</si>
  <si>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</si>
  <si>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</si>
  <si>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</si>
  <si>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</si>
  <si>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</si>
  <si>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</si>
  <si>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</si>
  <si>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</si>
  <si>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</si>
  <si>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</si>
  <si>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</si>
  <si>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</si>
  <si>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</si>
  <si>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</si>
  <si>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</si>
  <si>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</si>
  <si>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</si>
  <si>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</si>
  <si>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</si>
  <si>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</si>
  <si>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</si>
  <si>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</si>
  <si>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</si>
  <si>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</si>
  <si>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</si>
  <si>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</si>
  <si>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</si>
  <si>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</si>
  <si>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</si>
  <si>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</si>
  <si>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</si>
  <si>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</si>
  <si>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</si>
  <si>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</si>
  <si>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</si>
  <si>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</si>
  <si>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</si>
  <si>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</si>
  <si>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</si>
  <si>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</si>
  <si>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</si>
  <si>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</si>
  <si>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</si>
  <si>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</si>
  <si>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</si>
  <si>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</si>
  <si>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</si>
  <si>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</si>
  <si>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</si>
  <si>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</si>
  <si>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</si>
  <si>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</si>
  <si>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</si>
  <si>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</si>
  <si>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</si>
  <si>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</si>
  <si>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</si>
  <si>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</si>
  <si>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</si>
  <si>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</si>
  <si>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</si>
  <si>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</si>
  <si>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</si>
  <si>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</si>
  <si>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</si>
  <si>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</si>
  <si>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</si>
  <si>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</si>
  <si>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</si>
  <si>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</si>
  <si>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</si>
  <si>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</si>
  <si>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</si>
  <si>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</si>
  <si>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</si>
  <si>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</si>
  <si>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</si>
  <si>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</si>
  <si>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</si>
  <si>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</si>
  <si>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</si>
  <si>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</si>
  <si>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</si>
  <si>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</si>
  <si>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</si>
  <si>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</si>
  <si>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</si>
  <si>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</si>
  <si>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</si>
  <si>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</si>
  <si>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</si>
  <si>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</si>
  <si>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</si>
  <si>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</si>
  <si>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</si>
  <si>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</si>
  <si>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</si>
  <si>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</si>
  <si>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</si>
  <si>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</si>
  <si>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</si>
  <si>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</si>
  <si>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</si>
  <si>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</si>
  <si>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</si>
  <si>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</si>
  <si>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</si>
  <si>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</si>
  <si>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</si>
  <si>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</si>
  <si>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</si>
  <si>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</si>
  <si>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</si>
  <si>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</si>
  <si>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</si>
  <si>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</si>
  <si>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</si>
  <si>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</si>
  <si>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</si>
  <si>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</si>
  <si>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</si>
  <si>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</si>
  <si>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</si>
  <si>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</si>
  <si>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</si>
  <si>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</si>
  <si>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</si>
  <si>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</si>
  <si>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</si>
  <si>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</si>
  <si>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</si>
  <si>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</si>
  <si>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</si>
  <si>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</si>
  <si>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</si>
  <si>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</si>
  <si>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</si>
  <si>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</si>
  <si>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</si>
  <si>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</si>
  <si>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</si>
  <si>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</si>
  <si>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</si>
  <si>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</si>
  <si>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</si>
  <si>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</si>
  <si>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</si>
  <si>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</si>
  <si>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</si>
  <si>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</si>
  <si>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</si>
  <si>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</si>
  <si>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</si>
  <si>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</si>
  <si>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</si>
  <si>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</si>
  <si>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</si>
  <si>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</si>
  <si>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</si>
  <si>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</si>
  <si>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</si>
  <si>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</si>
  <si>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</si>
  <si>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</si>
  <si>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</si>
  <si>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</si>
  <si>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</si>
  <si>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</si>
  <si>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</si>
  <si>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</si>
  <si>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</si>
  <si>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</si>
  <si>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</si>
  <si>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</si>
  <si>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</si>
  <si>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</si>
  <si>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</si>
  <si>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</si>
  <si>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</si>
  <si>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</si>
  <si>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</si>
  <si>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</si>
  <si>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</si>
  <si>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</si>
  <si>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</si>
  <si>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</si>
  <si>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</si>
  <si>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</si>
  <si>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</si>
  <si>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</si>
  <si>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</si>
  <si>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</si>
  <si>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</si>
  <si>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</si>
  <si>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</si>
  <si>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</si>
  <si>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</si>
  <si>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</si>
  <si>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</si>
  <si>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</si>
  <si>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</si>
  <si>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</si>
  <si>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</si>
  <si>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</si>
  <si>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</si>
  <si>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</si>
  <si>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</si>
  <si>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</si>
  <si>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</si>
  <si>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</si>
  <si>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</si>
  <si>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</si>
  <si>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</si>
  <si>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</si>
  <si>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</si>
  <si>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</si>
  <si>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</si>
  <si>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</si>
  <si>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</si>
  <si>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</si>
  <si>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</si>
  <si>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</si>
  <si>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</si>
  <si>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</si>
  <si>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</si>
  <si>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</si>
  <si>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</si>
  <si>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</si>
  <si>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</si>
  <si>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</si>
  <si>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</si>
  <si>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</si>
  <si>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</si>
  <si>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</si>
  <si>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</si>
  <si>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</si>
  <si>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</si>
  <si>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</si>
  <si>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</si>
  <si>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</si>
  <si>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</si>
  <si>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</si>
  <si>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</si>
  <si>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</si>
  <si>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</si>
  <si>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</si>
  <si>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</si>
  <si>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</si>
  <si>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</si>
  <si>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</si>
  <si>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</si>
  <si>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</si>
  <si>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</si>
  <si>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</si>
  <si>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</si>
  <si>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</si>
  <si>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</si>
  <si>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</si>
  <si>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</si>
  <si>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</si>
  <si>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</si>
  <si>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</si>
  <si>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</si>
  <si>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</si>
  <si>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</si>
  <si>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</si>
  <si>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</si>
  <si>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</si>
  <si>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</si>
  <si>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</si>
  <si>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</si>
  <si>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</si>
  <si>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</si>
  <si>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</si>
  <si>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</si>
  <si>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</si>
  <si>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</si>
  <si>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</si>
  <si>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</si>
  <si>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</si>
  <si>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</si>
  <si>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</si>
  <si>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</si>
  <si>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</si>
  <si>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</si>
  <si>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</si>
  <si>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</si>
  <si>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</si>
  <si>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</si>
  <si>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</si>
  <si>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</si>
  <si>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</si>
  <si>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</si>
  <si>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</si>
  <si>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</si>
  <si>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</si>
  <si>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</si>
  <si>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</si>
  <si>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</si>
  <si>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</si>
  <si>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</si>
  <si>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</si>
  <si>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</si>
  <si>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</si>
  <si>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</si>
  <si>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</si>
  <si>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</si>
  <si>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</si>
  <si>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</si>
  <si>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</si>
  <si>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</si>
  <si>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</si>
  <si>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</si>
  <si>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</si>
  <si>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</si>
  <si>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</si>
  <si>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</si>
  <si>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</si>
  <si>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</si>
  <si>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</si>
  <si>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</si>
  <si>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</si>
  <si>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</si>
  <si>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</si>
  <si>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</si>
  <si>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</si>
  <si>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</si>
  <si>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</si>
  <si>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</si>
  <si>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</si>
  <si>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</si>
  <si>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</si>
  <si>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</si>
  <si>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</si>
  <si>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</si>
  <si>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</si>
  <si>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</si>
  <si>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</si>
  <si>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</si>
  <si>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</si>
  <si>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</si>
  <si>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</si>
  <si>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</si>
  <si>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</si>
  <si>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</si>
  <si>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</si>
  <si>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</si>
  <si>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</si>
  <si>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</si>
  <si>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</si>
  <si>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</si>
  <si>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</si>
  <si>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</si>
  <si>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</si>
  <si>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</si>
  <si>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</si>
  <si>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</si>
  <si>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</si>
  <si>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</si>
  <si>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</si>
  <si>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</si>
  <si>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</si>
  <si>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</si>
  <si>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</si>
  <si>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</si>
  <si>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</si>
  <si>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</si>
  <si>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</si>
  <si>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</si>
  <si>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</si>
  <si>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</si>
  <si>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</si>
  <si>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</si>
  <si>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</si>
  <si>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</si>
  <si>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</si>
  <si>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</si>
  <si>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</si>
  <si>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</si>
  <si>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</si>
  <si>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</si>
  <si>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</si>
  <si>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</si>
  <si>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</si>
  <si>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</si>
  <si>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</si>
  <si>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</si>
  <si>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</si>
  <si>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</si>
  <si>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</si>
  <si>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</si>
  <si>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</si>
  <si>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</si>
  <si>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</si>
  <si>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</si>
  <si>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</si>
  <si>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</si>
  <si>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</si>
  <si>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</si>
  <si>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</si>
  <si>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</si>
  <si>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</si>
  <si>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</si>
  <si>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</si>
  <si>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</si>
  <si>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</si>
  <si>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</si>
  <si>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</si>
  <si>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</si>
  <si>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</si>
  <si>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</si>
  <si>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</si>
  <si>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</si>
  <si>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</si>
  <si>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</si>
  <si>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</si>
  <si>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</si>
  <si>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</si>
  <si>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</si>
  <si>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</si>
  <si>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</si>
  <si>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</si>
  <si>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</si>
  <si>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</si>
  <si>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</si>
  <si>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</si>
  <si>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</si>
  <si>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</si>
  <si>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</si>
  <si>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</si>
  <si>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</si>
  <si>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</si>
  <si>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</si>
  <si>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</si>
  <si>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</si>
  <si>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</si>
  <si>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</si>
  <si>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</si>
  <si>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</si>
  <si>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</si>
  <si>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</si>
  <si>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</si>
  <si>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</si>
  <si>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</si>
  <si>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</si>
  <si>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</si>
  <si>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</si>
  <si>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</si>
  <si>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</si>
  <si>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</si>
  <si>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</si>
  <si>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</si>
  <si>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</si>
  <si>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</si>
  <si>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</si>
  <si>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</si>
  <si>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</si>
  <si>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</si>
  <si>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</si>
  <si>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</si>
  <si>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</si>
  <si>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</si>
  <si>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</si>
  <si>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</si>
  <si>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</si>
  <si>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</si>
  <si>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</si>
  <si>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</si>
  <si>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</si>
  <si>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</si>
  <si>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</si>
  <si>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</si>
  <si>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</si>
  <si>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</si>
  <si>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</si>
  <si>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</si>
  <si>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</si>
  <si>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</si>
  <si>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</si>
  <si>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</si>
  <si>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</si>
  <si>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</si>
  <si>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</si>
  <si>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</si>
  <si>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</si>
  <si>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</si>
  <si>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</si>
  <si>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</si>
  <si>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</si>
  <si>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</si>
  <si>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</si>
  <si>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</si>
  <si>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</si>
  <si>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</si>
  <si>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</si>
  <si>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</si>
  <si>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</si>
  <si>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</si>
  <si>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</si>
  <si>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</si>
  <si>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</si>
  <si>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</si>
  <si>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</si>
  <si>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</si>
  <si>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</si>
  <si>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</si>
  <si>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</si>
  <si>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</si>
  <si>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</si>
  <si>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</si>
  <si>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</si>
  <si>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</si>
  <si>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</si>
  <si>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</si>
  <si>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</si>
  <si>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</si>
  <si>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</si>
  <si>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</si>
  <si>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</si>
  <si>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</si>
  <si>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</si>
  <si>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</si>
  <si>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</si>
  <si>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</si>
  <si>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</si>
  <si>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</si>
  <si>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</si>
  <si>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</si>
  <si>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</si>
  <si>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</si>
  <si>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</si>
  <si>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</si>
  <si>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</si>
  <si>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</si>
  <si>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</si>
  <si>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</si>
  <si>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</si>
  <si>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</si>
  <si>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</si>
  <si>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</si>
  <si>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</si>
  <si>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</si>
  <si>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</si>
  <si>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</si>
  <si>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</si>
  <si>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</si>
  <si>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</si>
  <si>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</si>
  <si>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</si>
  <si>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</si>
  <si>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</si>
  <si>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</si>
  <si>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</si>
  <si>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</si>
  <si>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</si>
  <si>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</si>
  <si>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</si>
  <si>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</si>
  <si>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</si>
  <si>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</si>
  <si>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</si>
  <si>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</si>
  <si>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</si>
  <si>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</si>
  <si>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</si>
  <si>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</si>
  <si>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</si>
  <si>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</si>
  <si>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</si>
  <si>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</si>
  <si>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</si>
  <si>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</si>
  <si>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</si>
  <si>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</si>
  <si>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</si>
  <si>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</si>
  <si>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</si>
  <si>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</si>
  <si>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</si>
  <si>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</si>
  <si>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</si>
  <si>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</si>
  <si>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</si>
  <si>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</si>
  <si>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</si>
  <si>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</si>
  <si>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</si>
  <si>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</si>
  <si>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</si>
  <si>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</si>
  <si>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</si>
  <si>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</si>
  <si>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</si>
  <si>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</si>
  <si>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</si>
  <si>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</si>
  <si>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</si>
  <si>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</si>
  <si>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</si>
  <si>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</si>
  <si>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</si>
  <si>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</si>
  <si>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</si>
  <si>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</si>
  <si>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</si>
  <si>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</si>
  <si>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</si>
  <si>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</si>
  <si>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</si>
  <si>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</si>
  <si>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</si>
  <si>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</si>
  <si>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</si>
  <si>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</si>
  <si>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</si>
  <si>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</si>
  <si>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</si>
  <si>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</si>
  <si>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</si>
  <si>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</si>
  <si>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</si>
  <si>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</si>
  <si>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</si>
  <si>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</si>
  <si>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</si>
  <si>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</si>
  <si>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</si>
  <si>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</si>
  <si>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</si>
  <si>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</si>
  <si>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</si>
  <si>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</si>
  <si>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</si>
  <si>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</si>
  <si>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</si>
  <si>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</si>
  <si>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</si>
  <si>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</si>
  <si>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</si>
  <si>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</si>
  <si>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</si>
  <si>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</si>
  <si>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</si>
  <si>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</si>
  <si>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</si>
  <si>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</si>
  <si>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</si>
  <si>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</si>
  <si>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</si>
  <si>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</si>
  <si>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</si>
  <si>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</si>
  <si>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</si>
  <si>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</si>
  <si>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</si>
  <si>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</si>
  <si>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</si>
  <si>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</si>
  <si>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</si>
  <si>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</si>
  <si>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</si>
  <si>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</si>
  <si>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</si>
  <si>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</si>
  <si>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</si>
  <si>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</si>
  <si>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</si>
  <si>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</si>
  <si>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</si>
  <si>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</si>
  <si>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</si>
  <si>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</si>
  <si>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</si>
  <si>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</si>
  <si>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</si>
  <si>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</si>
  <si>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</si>
  <si>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</si>
  <si>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</si>
  <si>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</si>
  <si>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</si>
  <si>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</si>
  <si>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</si>
  <si>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</si>
  <si>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</si>
  <si>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</si>
  <si>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</si>
  <si>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</si>
  <si>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</si>
  <si>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</si>
  <si>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</si>
  <si>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</si>
  <si>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</si>
  <si>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</si>
  <si>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</si>
  <si>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</si>
  <si>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</si>
  <si>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</si>
  <si>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</si>
  <si>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</si>
  <si>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</si>
  <si>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</si>
  <si>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</si>
  <si>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</si>
  <si>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</si>
  <si>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</si>
  <si>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</si>
  <si>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</si>
  <si>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</si>
  <si>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</si>
  <si>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</si>
  <si>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</si>
  <si>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</si>
  <si>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</si>
  <si>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</si>
  <si>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</si>
  <si>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</si>
  <si>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</si>
  <si>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</si>
  <si>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</si>
  <si>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</si>
  <si>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</si>
  <si>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</si>
  <si>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</si>
  <si>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</si>
  <si>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</si>
  <si>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</si>
  <si>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</si>
  <si>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</si>
  <si>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</si>
  <si>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</si>
  <si>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</si>
  <si>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</si>
  <si>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</si>
  <si>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</si>
  <si>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</si>
  <si>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</si>
  <si>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</si>
  <si>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</si>
  <si>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</si>
  <si>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</si>
  <si>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</si>
  <si>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</si>
  <si>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</si>
  <si>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</si>
  <si>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</si>
  <si>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</si>
  <si>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</si>
  <si>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</si>
  <si>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</si>
  <si>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</si>
  <si>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</si>
  <si>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</si>
  <si>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</si>
  <si>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</si>
  <si>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</si>
  <si>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</si>
  <si>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</si>
  <si>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</si>
  <si>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</si>
  <si>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</si>
  <si>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</si>
  <si>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</si>
  <si>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</si>
  <si>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</si>
  <si>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</si>
  <si>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</si>
  <si>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</si>
  <si>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</si>
  <si>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</si>
  <si>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</si>
  <si>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</si>
  <si>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</si>
  <si>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</si>
  <si>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</si>
  <si>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</si>
  <si>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</si>
  <si>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</si>
  <si>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</si>
  <si>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</si>
  <si>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</si>
  <si>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</si>
  <si>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</si>
  <si>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</si>
  <si>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</si>
  <si>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</si>
  <si>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</si>
  <si>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</si>
  <si>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</si>
  <si>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</si>
  <si>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</si>
  <si>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</si>
  <si>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</si>
  <si>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</si>
  <si>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</si>
  <si>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</si>
  <si>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</si>
  <si>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</si>
  <si>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</si>
  <si>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</si>
  <si>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</si>
  <si>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</si>
  <si>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</si>
  <si>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</si>
  <si>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</si>
  <si>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</si>
  <si>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</si>
  <si>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</si>
  <si>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</si>
  <si>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</si>
  <si>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</si>
  <si>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</si>
  <si>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</si>
  <si>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</si>
  <si>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</si>
  <si>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</si>
  <si>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</si>
  <si>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</si>
  <si>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</si>
  <si>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</si>
  <si>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</si>
  <si>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</si>
  <si>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</si>
  <si>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</si>
  <si>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</si>
  <si>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</si>
  <si>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</si>
  <si>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</si>
  <si>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</si>
  <si>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</si>
  <si>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</si>
  <si>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</si>
  <si>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</si>
  <si>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</si>
  <si>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</si>
  <si>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</si>
  <si>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</si>
  <si>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</si>
  <si>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</si>
  <si>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</si>
  <si>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</si>
  <si>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</si>
  <si>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</si>
  <si>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</si>
  <si>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</si>
  <si>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</si>
  <si>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</si>
  <si>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</si>
  <si>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</si>
  <si>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</si>
  <si>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</si>
  <si>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</si>
  <si>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</si>
  <si>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</si>
  <si>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</si>
  <si>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</si>
  <si>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</si>
  <si>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</si>
  <si>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</si>
  <si>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</si>
  <si>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</si>
  <si>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</si>
  <si>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</si>
  <si>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</si>
  <si>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</si>
  <si>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</si>
  <si>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</si>
  <si>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</si>
  <si>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</si>
  <si>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</si>
  <si>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</si>
  <si>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</si>
  <si>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</si>
  <si>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</si>
  <si>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</si>
  <si>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</si>
  <si>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</si>
  <si>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</si>
  <si>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</si>
  <si>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</si>
  <si>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</si>
  <si>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</si>
  <si>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</si>
  <si>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</si>
  <si>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</si>
  <si>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</si>
  <si>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</si>
  <si>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</si>
  <si>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</si>
  <si>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</si>
  <si>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</si>
  <si>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</si>
  <si>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</si>
  <si>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</si>
  <si>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</si>
  <si>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</si>
  <si>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</si>
  <si>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</si>
  <si>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</si>
  <si>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</si>
  <si>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</si>
  <si>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</si>
  <si>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</si>
  <si>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</si>
  <si>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</si>
  <si>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</si>
  <si>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</si>
  <si>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</si>
  <si>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</si>
  <si>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</si>
  <si>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</si>
  <si>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</si>
  <si>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</si>
  <si>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</si>
  <si>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</si>
  <si>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</si>
  <si>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</si>
  <si>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</si>
  <si>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</si>
  <si>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</si>
  <si>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</si>
  <si>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</si>
  <si>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</si>
  <si>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</si>
  <si>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</si>
  <si>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</si>
  <si>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</si>
  <si>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</si>
  <si>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</si>
  <si>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</si>
  <si>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</si>
  <si>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</si>
  <si>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</si>
  <si>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</si>
  <si>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</si>
  <si>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</si>
  <si>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</si>
  <si>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</si>
  <si>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</si>
  <si>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</si>
  <si>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</si>
  <si>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</si>
  <si>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</si>
  <si>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</si>
  <si>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</si>
  <si>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</si>
  <si>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</si>
  <si>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</si>
  <si>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</si>
  <si>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</si>
  <si>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</si>
  <si>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</si>
  <si>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</si>
  <si>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</si>
  <si>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</si>
  <si>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</si>
  <si>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</si>
  <si>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</si>
  <si>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</si>
  <si>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</si>
  <si>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</si>
  <si>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</si>
  <si>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</si>
  <si>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</si>
  <si>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</si>
  <si>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</si>
  <si>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</si>
  <si>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</si>
  <si>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</si>
  <si>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</si>
  <si>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</si>
  <si>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</si>
  <si>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</si>
  <si>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</si>
  <si>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</si>
  <si>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</si>
  <si>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</si>
  <si>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</si>
  <si>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</si>
  <si>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</si>
  <si>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</si>
  <si>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</si>
  <si>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</si>
  <si>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</si>
  <si>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</si>
  <si>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</si>
  <si>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</si>
  <si>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</si>
  <si>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</si>
  <si>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</si>
  <si>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</si>
  <si>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</si>
  <si>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</si>
  <si>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</si>
  <si>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</si>
  <si>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</si>
  <si>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</si>
  <si>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</si>
  <si>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</si>
  <si>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</si>
  <si>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</si>
  <si>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</si>
  <si>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</si>
  <si>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</si>
  <si>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</si>
  <si>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</si>
  <si>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</si>
  <si>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</si>
  <si>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</si>
  <si>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</si>
  <si>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</si>
  <si>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</si>
  <si>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</si>
  <si>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</si>
  <si>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</si>
  <si>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</si>
  <si>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</si>
  <si>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</si>
  <si>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</si>
  <si>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</si>
  <si>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</si>
  <si>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</si>
  <si>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</si>
  <si>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</si>
  <si>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</si>
  <si>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</si>
  <si>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</si>
  <si>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</si>
  <si>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</si>
  <si>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</si>
  <si>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</si>
  <si>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</si>
  <si>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</si>
  <si>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</si>
  <si>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</si>
  <si>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</si>
  <si>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</si>
  <si>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</si>
  <si>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</si>
  <si>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</si>
  <si>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</si>
  <si>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</si>
  <si>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</si>
  <si>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</si>
  <si>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</si>
  <si>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</si>
  <si>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</si>
  <si>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</si>
  <si>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</si>
  <si>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</si>
  <si>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</si>
  <si>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</si>
  <si>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</si>
  <si>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</si>
  <si>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</si>
  <si>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</si>
  <si>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</si>
  <si>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</si>
  <si>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</si>
  <si>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</si>
  <si>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</si>
  <si>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</si>
  <si>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</si>
  <si>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</si>
  <si>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</si>
  <si>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</si>
  <si>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</si>
  <si>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</si>
  <si>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</si>
  <si>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</si>
  <si>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</si>
  <si>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</si>
  <si>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</si>
  <si>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</si>
  <si>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</si>
  <si>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</si>
  <si>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</si>
  <si>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</si>
  <si>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</si>
  <si>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</si>
  <si>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</si>
  <si>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</si>
  <si>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</si>
  <si>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</si>
  <si>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</si>
  <si>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</si>
  <si>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</si>
  <si>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</si>
  <si>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</si>
  <si>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</si>
  <si>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</si>
  <si>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</si>
  <si>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</si>
  <si>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</si>
  <si>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</si>
  <si>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</si>
  <si>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</si>
  <si>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</si>
  <si>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</si>
  <si>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</si>
  <si>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</si>
  <si>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</si>
  <si>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</si>
  <si>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</si>
  <si>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</si>
  <si>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</si>
  <si>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</si>
  <si>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</si>
  <si>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</si>
  <si>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</si>
  <si>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</si>
  <si>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</si>
  <si>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</si>
  <si>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</si>
  <si>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</si>
  <si>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</si>
  <si>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</si>
  <si>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</si>
  <si>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</si>
  <si>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</si>
  <si>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</si>
  <si>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</si>
  <si>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</si>
  <si>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</si>
  <si>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</si>
  <si>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</si>
  <si>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</si>
  <si>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</si>
  <si>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</si>
  <si>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</si>
  <si>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</si>
  <si>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</si>
  <si>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</si>
  <si>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</si>
  <si>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</si>
  <si>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</si>
  <si>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</si>
  <si>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</si>
  <si>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</si>
  <si>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</si>
  <si>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</si>
  <si>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</si>
  <si>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</si>
  <si>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</si>
  <si>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</si>
  <si>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</si>
  <si>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</si>
  <si>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</si>
  <si>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</si>
  <si>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</si>
  <si>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</si>
  <si>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</si>
  <si>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</si>
  <si>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</si>
  <si>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</si>
  <si>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</si>
  <si>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</si>
  <si>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</si>
  <si>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</si>
  <si>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</si>
  <si>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</si>
  <si>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</si>
  <si>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</si>
  <si>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</si>
  <si>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</si>
  <si>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</si>
  <si>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</si>
  <si>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</si>
  <si>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</si>
  <si>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</si>
  <si>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</si>
  <si>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</si>
  <si>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</si>
  <si>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</si>
  <si>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</si>
  <si>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</si>
  <si>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</si>
  <si>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</si>
  <si>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</si>
  <si>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</si>
  <si>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</si>
  <si>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</si>
  <si>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</si>
  <si>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</si>
  <si>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</si>
  <si>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</si>
  <si>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</si>
  <si>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</si>
  <si>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</si>
  <si>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</si>
  <si>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</si>
  <si>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</si>
  <si>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</si>
  <si>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</si>
  <si>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</si>
  <si>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</si>
  <si>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</si>
  <si>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</si>
  <si>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</si>
  <si>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</si>
  <si>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</si>
  <si>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</si>
  <si>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</si>
  <si>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</si>
  <si>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</si>
  <si>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</si>
  <si>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</si>
  <si>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</si>
  <si>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</si>
  <si>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</si>
  <si>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</si>
  <si>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</si>
  <si>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</si>
  <si>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</si>
  <si>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</si>
  <si>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</si>
  <si>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</si>
  <si>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</si>
  <si>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</si>
  <si>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</si>
  <si>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</si>
  <si>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</si>
  <si>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</si>
  <si>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</si>
  <si>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</si>
  <si>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</si>
  <si>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</si>
  <si>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</si>
  <si>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</si>
  <si>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</si>
  <si>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</si>
  <si>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</si>
  <si>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</si>
  <si>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</si>
  <si>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</si>
  <si>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</si>
  <si>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</si>
  <si>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</si>
  <si>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</si>
  <si>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</si>
  <si>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</si>
  <si>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</si>
  <si>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</si>
  <si>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</si>
  <si>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</si>
  <si>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</si>
  <si>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</si>
  <si>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</si>
  <si>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</si>
  <si>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</si>
  <si>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</si>
  <si>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</si>
  <si>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</si>
  <si>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</si>
  <si>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</si>
  <si>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</si>
  <si>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</si>
  <si>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</si>
  <si>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</si>
  <si>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</si>
  <si>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</si>
  <si>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</si>
  <si>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</si>
  <si>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</si>
  <si>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</si>
  <si>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</si>
  <si>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</si>
  <si>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</si>
  <si>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</si>
  <si>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</si>
  <si>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</si>
  <si>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</si>
  <si>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</si>
  <si>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</si>
  <si>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</si>
  <si>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</si>
  <si>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</si>
  <si>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</si>
  <si>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</si>
  <si>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</si>
  <si>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</si>
  <si>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</si>
  <si>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</si>
  <si>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</si>
  <si>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</si>
  <si>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</si>
  <si>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</si>
  <si>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</si>
  <si>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</si>
  <si>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</si>
  <si>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</si>
  <si>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</si>
  <si>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</si>
  <si>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</si>
  <si>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</si>
  <si>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</si>
  <si>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</si>
  <si>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</si>
  <si>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</si>
  <si>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</si>
  <si>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</si>
  <si>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</si>
  <si>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</si>
  <si>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</si>
  <si>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</si>
  <si>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</si>
  <si>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</si>
  <si>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</si>
  <si>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</si>
  <si>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</si>
  <si>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</si>
  <si>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</si>
  <si>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</si>
  <si>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</si>
  <si>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</si>
  <si>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</si>
  <si>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</si>
  <si>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</si>
  <si>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</si>
  <si>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</si>
  <si>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</si>
  <si>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</si>
  <si>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</si>
  <si>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</si>
  <si>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</si>
  <si>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</si>
  <si>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</si>
  <si>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</si>
  <si>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</si>
  <si>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</si>
  <si>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</si>
  <si>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</si>
  <si>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</si>
  <si>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</si>
  <si>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</si>
  <si>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</si>
  <si>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</si>
  <si>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</si>
  <si>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</si>
  <si>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</si>
  <si>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</si>
  <si>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</si>
  <si>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</si>
  <si>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</si>
  <si>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</si>
  <si>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</si>
  <si>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</si>
  <si>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</si>
  <si>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</si>
  <si>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</si>
  <si>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</si>
  <si>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</si>
  <si>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</si>
  <si>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</si>
  <si>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</si>
  <si>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</si>
  <si>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</si>
  <si>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</si>
  <si>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</si>
  <si>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</si>
  <si>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</si>
  <si>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</si>
  <si>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</si>
  <si>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</si>
  <si>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</si>
  <si>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</si>
  <si>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</si>
  <si>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</si>
  <si>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</si>
  <si>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</si>
  <si>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</si>
  <si>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</si>
  <si>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</si>
  <si>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</si>
  <si>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</si>
  <si>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</si>
  <si>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</si>
  <si>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</si>
  <si>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</si>
  <si>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</si>
  <si>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</si>
  <si>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</si>
  <si>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</si>
  <si>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</si>
  <si>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</si>
  <si>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</si>
  <si>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</si>
  <si>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</si>
  <si>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</si>
  <si>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</si>
  <si>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</si>
  <si>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</si>
  <si>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</si>
  <si>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</si>
  <si>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</si>
  <si>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</si>
  <si>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</si>
  <si>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</si>
  <si>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</si>
  <si>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</si>
  <si>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</si>
  <si>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</si>
  <si>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</si>
  <si>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</si>
  <si>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</si>
  <si>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</si>
  <si>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</si>
  <si>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</si>
  <si>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</si>
  <si>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</si>
  <si>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</si>
  <si>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</si>
  <si>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</si>
  <si>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</si>
  <si>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</si>
  <si>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</si>
  <si>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</si>
  <si>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</si>
  <si>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</si>
  <si>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</si>
  <si>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</si>
  <si>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</si>
  <si>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</si>
  <si>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</si>
  <si>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</si>
  <si>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</si>
  <si>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</si>
  <si>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</si>
  <si>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</si>
  <si>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</si>
  <si>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</si>
  <si>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</si>
  <si>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</si>
  <si>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</si>
  <si>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</si>
  <si>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</si>
  <si>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</si>
  <si>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</si>
  <si>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</si>
  <si>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</si>
  <si>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</si>
  <si>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</si>
  <si>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</si>
  <si>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</si>
  <si>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</si>
  <si>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</si>
  <si>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</si>
  <si>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</si>
  <si>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</si>
  <si>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</si>
  <si>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</si>
  <si>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</si>
  <si>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</si>
  <si>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</si>
  <si>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</si>
  <si>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</si>
  <si>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</si>
  <si>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</si>
  <si>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</si>
  <si>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</si>
  <si>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</si>
  <si>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</si>
  <si>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</si>
  <si>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</si>
  <si>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</si>
  <si>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</si>
  <si>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</si>
  <si>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</si>
  <si>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</si>
  <si>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</si>
  <si>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</si>
  <si>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</si>
  <si>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</si>
  <si>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</si>
  <si>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</si>
  <si>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</si>
  <si>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</si>
  <si>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</si>
  <si>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</si>
  <si>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</si>
  <si>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</si>
  <si>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</si>
  <si>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</si>
  <si>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</si>
  <si>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</si>
  <si>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</si>
  <si>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</si>
  <si>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</si>
  <si>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</si>
  <si>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</si>
  <si>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</si>
  <si>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</si>
  <si>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</si>
  <si>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</si>
  <si>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</si>
  <si>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</si>
  <si>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</si>
  <si>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</si>
  <si>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</si>
  <si>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</si>
  <si>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</si>
  <si>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</si>
  <si>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</si>
  <si>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</si>
  <si>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</si>
  <si>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</si>
  <si>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</si>
  <si>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</si>
  <si>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</si>
  <si>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</si>
  <si>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</si>
  <si>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</si>
  <si>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</si>
  <si>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</si>
  <si>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</si>
  <si>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</si>
  <si>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</si>
  <si>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</si>
  <si>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</si>
  <si>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</si>
  <si>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</si>
  <si>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</si>
  <si>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</si>
  <si>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</si>
  <si>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</si>
  <si>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</si>
  <si>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</si>
  <si>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</si>
  <si>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</si>
  <si>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</si>
  <si>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</si>
  <si>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</si>
  <si>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</si>
  <si>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</si>
  <si>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</si>
  <si>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</si>
  <si>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</si>
  <si>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</si>
  <si>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</si>
  <si>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</si>
  <si>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</si>
  <si>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</si>
  <si>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</si>
  <si>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</si>
  <si>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</si>
  <si>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</si>
  <si>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</si>
  <si>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</si>
  <si>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</si>
  <si>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</si>
  <si>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</si>
  <si>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</si>
  <si>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</si>
  <si>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</si>
  <si>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</si>
  <si>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</si>
  <si>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</si>
  <si>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</si>
  <si>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</si>
  <si>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</si>
  <si>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</si>
  <si>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</si>
  <si>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</si>
  <si>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</si>
  <si>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</si>
  <si>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</si>
  <si>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</si>
  <si>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</si>
  <si>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</si>
  <si>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</si>
  <si>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</si>
  <si>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</si>
  <si>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</si>
  <si>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</si>
  <si>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</si>
  <si>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</si>
  <si>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</si>
  <si>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</si>
  <si>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</si>
  <si>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</si>
  <si>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</si>
  <si>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</si>
  <si>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</si>
  <si>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</si>
  <si>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</si>
  <si>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</si>
  <si>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</si>
  <si>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</si>
  <si>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</si>
  <si>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</si>
  <si>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</si>
  <si>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</si>
  <si>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</si>
  <si>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</si>
  <si>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</si>
  <si>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</si>
  <si>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</si>
  <si>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</si>
  <si>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</si>
  <si>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</si>
  <si>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</si>
  <si>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</si>
  <si>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</si>
  <si>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</si>
  <si>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</si>
  <si>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</si>
  <si>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</si>
  <si>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</si>
  <si>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</si>
  <si>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</si>
  <si>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</si>
  <si>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</si>
  <si>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</si>
  <si>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</si>
  <si>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</si>
  <si>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</si>
  <si>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</si>
  <si>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</si>
  <si>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</si>
  <si>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</si>
  <si>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</si>
  <si>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</si>
  <si>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</si>
  <si>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</si>
  <si>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</si>
  <si>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</si>
  <si>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</si>
  <si>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</si>
  <si>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</si>
  <si>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</si>
  <si>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</si>
  <si>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</si>
  <si>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</si>
  <si>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</si>
  <si>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</si>
  <si>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</si>
  <si>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</si>
  <si>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</si>
  <si>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</si>
  <si>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</si>
  <si>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</si>
  <si>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</si>
  <si>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</si>
  <si>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</si>
  <si>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</si>
  <si>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</si>
  <si>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</si>
  <si>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</si>
  <si>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</si>
  <si>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</si>
  <si>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</si>
  <si>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</si>
  <si>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</si>
  <si>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</si>
  <si>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</si>
  <si>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</si>
  <si>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</si>
  <si>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</si>
  <si>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</si>
  <si>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</si>
  <si>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</si>
  <si>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</si>
  <si>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</si>
  <si>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</si>
  <si>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</si>
  <si>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</si>
  <si>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</si>
  <si>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</si>
  <si>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</si>
  <si>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</si>
  <si>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</si>
  <si>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</si>
  <si>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</si>
  <si>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</si>
  <si>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</si>
  <si>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</si>
  <si>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</si>
  <si>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</si>
  <si>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</si>
  <si>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</si>
  <si>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</si>
  <si>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</si>
  <si>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</si>
  <si>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</si>
  <si>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</si>
  <si>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</si>
  <si>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</si>
  <si>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</si>
  <si>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</si>
  <si>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</si>
  <si>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</si>
  <si>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</si>
  <si>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</si>
  <si>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</si>
  <si>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</si>
  <si>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</si>
  <si>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</si>
  <si>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</si>
  <si>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</si>
  <si>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</si>
  <si>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</si>
  <si>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</si>
  <si>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</si>
  <si>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</si>
  <si>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</si>
  <si>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</si>
  <si>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</si>
  <si>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</si>
  <si>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</si>
  <si>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</si>
  <si>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</si>
  <si>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</si>
  <si>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</si>
  <si>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</si>
  <si>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</si>
  <si>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</si>
  <si>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</si>
  <si>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</si>
  <si>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</si>
  <si>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</si>
  <si>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</si>
  <si>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</si>
  <si>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</si>
  <si>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</si>
  <si>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</si>
  <si>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</si>
  <si>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</si>
  <si>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</si>
  <si>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</si>
  <si>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</si>
  <si>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</si>
  <si>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</si>
  <si>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</si>
  <si>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</si>
  <si>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</si>
  <si>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</si>
  <si>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</si>
  <si>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</si>
  <si>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</si>
  <si>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</si>
  <si>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</si>
  <si>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</si>
  <si>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</si>
  <si>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</si>
  <si>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</si>
  <si>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</si>
  <si>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</si>
  <si>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</si>
  <si>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</si>
  <si>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</si>
  <si>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</si>
  <si>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</si>
  <si>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</si>
  <si>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</si>
  <si>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</si>
  <si>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</si>
  <si>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</si>
  <si>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</si>
  <si>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</si>
  <si>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</si>
  <si>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</si>
  <si>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</si>
  <si>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</si>
  <si>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</si>
  <si>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</si>
  <si>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</si>
  <si>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</si>
  <si>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</si>
  <si>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</si>
  <si>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</si>
  <si>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</si>
  <si>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</si>
  <si>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</si>
  <si>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</si>
  <si>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</si>
  <si>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</si>
  <si>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</si>
  <si>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</si>
  <si>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</si>
  <si>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</si>
  <si>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</si>
  <si>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</si>
  <si>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</si>
  <si>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</si>
  <si>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</si>
  <si>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</si>
  <si>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</si>
  <si>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</si>
  <si>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</si>
  <si>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</si>
  <si>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</si>
  <si>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</si>
  <si>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</si>
  <si>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</si>
  <si>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</si>
  <si>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</si>
  <si>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</si>
  <si>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</si>
  <si>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</si>
  <si>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</si>
  <si>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</si>
  <si>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</si>
  <si>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</si>
  <si>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</si>
  <si>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</si>
  <si>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</si>
  <si>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</si>
  <si>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</si>
  <si>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</si>
  <si>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</si>
  <si>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</si>
  <si>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</si>
  <si>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</si>
  <si>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</si>
  <si>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</si>
  <si>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</si>
  <si>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</si>
  <si>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</si>
  <si>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</si>
  <si>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</si>
  <si>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</si>
  <si>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</si>
  <si>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</si>
  <si>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</si>
  <si>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</si>
  <si>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</si>
  <si>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</si>
  <si>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</si>
  <si>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</si>
  <si>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</si>
  <si>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</si>
  <si>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</si>
  <si>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</si>
  <si>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</si>
  <si>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</si>
  <si>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</si>
  <si>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</si>
  <si>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</si>
  <si>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</si>
  <si>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</si>
  <si>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</si>
  <si>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</si>
  <si>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</si>
  <si>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</si>
  <si>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</si>
  <si>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</si>
  <si>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</si>
  <si>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</si>
  <si>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</si>
  <si>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</si>
  <si>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</si>
  <si>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</si>
  <si>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</si>
  <si>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</si>
  <si>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</si>
  <si>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</si>
  <si>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</si>
  <si>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</si>
  <si>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</si>
  <si>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</si>
  <si>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</si>
  <si>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</si>
  <si>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</si>
  <si>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</si>
  <si>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</si>
  <si>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</si>
  <si>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</si>
  <si>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</si>
  <si>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</si>
  <si>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</si>
  <si>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</si>
  <si>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</si>
  <si>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</si>
  <si>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</si>
  <si>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</si>
  <si>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</si>
  <si>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</si>
  <si>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</si>
  <si>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</si>
  <si>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</si>
  <si>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</si>
  <si>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</si>
  <si>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</si>
  <si>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</si>
  <si>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</si>
  <si>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</si>
  <si>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</si>
  <si>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</si>
  <si>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</si>
  <si>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</si>
  <si>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</si>
  <si>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</si>
  <si>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</si>
  <si>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</si>
  <si>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</si>
  <si>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</si>
  <si>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</si>
  <si>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</si>
  <si>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</si>
  <si>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</si>
  <si>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</si>
  <si>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</si>
  <si>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</si>
  <si>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</si>
  <si>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</si>
  <si>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</si>
  <si>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</si>
  <si>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</si>
  <si>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</si>
  <si>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</si>
  <si>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</si>
  <si>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</si>
  <si>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</si>
  <si>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</si>
  <si>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</si>
  <si>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</si>
  <si>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</si>
  <si>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</si>
  <si>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</si>
  <si>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</si>
  <si>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</si>
  <si>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</si>
  <si>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</si>
  <si>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</si>
  <si>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</si>
  <si>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</si>
  <si>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</si>
  <si>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</si>
  <si>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</si>
  <si>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</si>
  <si>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</si>
  <si>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</si>
  <si>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</si>
  <si>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</si>
  <si>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</si>
  <si>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</si>
  <si>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</si>
  <si>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</si>
  <si>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</si>
  <si>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</si>
  <si>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</si>
  <si>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</si>
  <si>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</si>
  <si>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</si>
  <si>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</si>
  <si>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</si>
  <si>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</si>
  <si>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</si>
  <si>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</si>
  <si>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</si>
  <si>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</si>
  <si>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</si>
  <si>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</si>
  <si>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</si>
  <si>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</si>
  <si>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</si>
  <si>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</si>
  <si>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</si>
  <si>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</si>
  <si>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</si>
  <si>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</si>
  <si>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</si>
  <si>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</si>
  <si>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</si>
  <si>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</si>
  <si>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</si>
  <si>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</si>
  <si>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</si>
  <si>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</si>
  <si>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</si>
  <si>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</si>
  <si>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</si>
  <si>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</si>
  <si>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</si>
  <si>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</si>
  <si>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</si>
  <si>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</si>
  <si>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</si>
  <si>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</si>
  <si>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</si>
  <si>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</si>
  <si>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</si>
  <si>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</si>
  <si>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</si>
  <si>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</si>
  <si>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</si>
  <si>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</si>
  <si>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</si>
  <si>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</si>
  <si>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</si>
  <si>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</si>
  <si>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</si>
  <si>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</si>
  <si>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</si>
  <si>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</si>
  <si>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</si>
  <si>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</si>
  <si>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</si>
  <si>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</si>
  <si>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</si>
  <si>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</si>
  <si>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</si>
  <si>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</si>
  <si>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</si>
  <si>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</si>
  <si>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</si>
  <si>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</si>
  <si>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</si>
  <si>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</si>
  <si>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</si>
  <si>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</si>
  <si>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</si>
  <si>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</si>
  <si>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</si>
  <si>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</si>
  <si>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</si>
  <si>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</si>
  <si>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</si>
  <si>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</si>
  <si>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</si>
  <si>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</si>
  <si>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</si>
  <si>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</si>
  <si>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</si>
  <si>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</si>
  <si>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</si>
  <si>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</si>
  <si>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</si>
  <si>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</si>
  <si>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</si>
  <si>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</si>
  <si>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</si>
  <si>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</si>
  <si>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</si>
  <si>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</si>
  <si>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</si>
  <si>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</si>
  <si>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</si>
  <si>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</si>
  <si>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</si>
  <si>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</si>
  <si>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</si>
  <si>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</si>
  <si>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</si>
  <si>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</si>
  <si>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</si>
  <si>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</si>
  <si>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</si>
  <si>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</si>
  <si>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</si>
  <si>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</si>
  <si>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</si>
  <si>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</si>
  <si>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</si>
  <si>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</si>
  <si>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</si>
  <si>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</si>
  <si>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</si>
  <si>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</si>
  <si>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</si>
  <si>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</si>
  <si>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</si>
  <si>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</si>
  <si>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</si>
  <si>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</si>
  <si>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</si>
  <si>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</si>
  <si>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</si>
  <si>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</si>
  <si>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</si>
  <si>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</si>
  <si>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</si>
  <si>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</si>
  <si>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</si>
  <si>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</si>
  <si>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</si>
  <si>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</si>
  <si>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</si>
  <si>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</si>
  <si>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</si>
  <si>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</si>
  <si>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</si>
  <si>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</si>
  <si>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</si>
  <si>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</si>
  <si>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</si>
  <si>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</si>
  <si>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</si>
  <si>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</si>
  <si>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</si>
  <si>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</si>
  <si>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</si>
  <si>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</si>
  <si>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</si>
  <si>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</si>
  <si>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</si>
  <si>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</si>
  <si>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</si>
  <si>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</si>
  <si>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</si>
  <si>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</si>
  <si>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</si>
  <si>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</si>
  <si>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</si>
  <si>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</si>
  <si>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</si>
  <si>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</si>
  <si>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</si>
  <si>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</si>
  <si>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</si>
  <si>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</si>
  <si>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</si>
  <si>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</si>
  <si>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</si>
  <si>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</si>
  <si>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</si>
  <si>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</si>
  <si>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</si>
  <si>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</si>
  <si>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</si>
  <si>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</si>
  <si>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</si>
  <si>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</si>
  <si>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</si>
  <si>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</si>
  <si>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</si>
  <si>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</si>
  <si>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</si>
  <si>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</si>
  <si>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</si>
  <si>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</si>
  <si>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</si>
  <si>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</si>
  <si>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</si>
  <si>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</si>
  <si>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</si>
  <si>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</si>
  <si>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</si>
  <si>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</si>
  <si>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</si>
  <si>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</si>
  <si>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</si>
  <si>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</si>
  <si>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</si>
  <si>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</si>
  <si>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</si>
  <si>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</si>
  <si>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</si>
  <si>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</si>
  <si>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</si>
  <si>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</si>
  <si>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</si>
  <si>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</si>
  <si>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</si>
  <si>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</si>
  <si>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</si>
  <si>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</si>
  <si>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</si>
  <si>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</si>
  <si>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</si>
  <si>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</si>
  <si>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</si>
  <si>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</si>
  <si>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</si>
  <si>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</si>
  <si>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</si>
  <si>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</si>
  <si>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</si>
  <si>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</si>
  <si>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</si>
  <si>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</si>
  <si>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</si>
  <si>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</si>
  <si>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</si>
  <si>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</si>
  <si>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</si>
  <si>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</si>
  <si>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</si>
  <si>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</si>
  <si>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</si>
  <si>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</si>
  <si>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</si>
  <si>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</si>
  <si>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</si>
  <si>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</si>
  <si>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</si>
  <si>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</si>
  <si>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</si>
  <si>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</si>
  <si>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</si>
  <si>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</si>
  <si>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</si>
  <si>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</si>
  <si>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</si>
  <si>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</si>
  <si>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</si>
  <si>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</si>
  <si>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</si>
  <si>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</si>
  <si>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</si>
  <si>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</si>
  <si>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</si>
  <si>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</si>
  <si>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</si>
  <si>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</si>
  <si>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</si>
  <si>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</si>
  <si>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</si>
  <si>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</si>
  <si>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</si>
  <si>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</si>
  <si>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</si>
  <si>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</si>
  <si>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</si>
  <si>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</si>
  <si>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</si>
  <si>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</si>
  <si>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</si>
  <si>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</si>
  <si>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</si>
  <si>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</si>
  <si>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</si>
  <si>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</si>
  <si>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</si>
  <si>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</si>
  <si>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</si>
  <si>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</si>
  <si>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</si>
  <si>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</si>
  <si>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</si>
  <si>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</si>
  <si>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</si>
  <si>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</si>
  <si>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</si>
  <si>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</si>
  <si>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</si>
  <si>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</si>
  <si>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</si>
  <si>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</si>
  <si>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</si>
  <si>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</si>
  <si>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</si>
  <si>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</si>
  <si>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</si>
  <si>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</si>
  <si>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</si>
  <si>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</si>
  <si>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</si>
  <si>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</si>
  <si>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</si>
  <si>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</si>
  <si>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</si>
  <si>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</si>
  <si>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</si>
  <si>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</si>
  <si>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</si>
  <si>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</si>
  <si>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</si>
  <si>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</si>
  <si>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</si>
  <si>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</si>
  <si>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</si>
  <si>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</si>
  <si>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</si>
  <si>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</si>
  <si>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</si>
  <si>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</si>
  <si>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</si>
  <si>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</si>
  <si>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</si>
  <si>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</si>
  <si>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</si>
  <si>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</si>
  <si>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</si>
  <si>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</si>
  <si>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</si>
  <si>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</si>
  <si>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</si>
  <si>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</si>
  <si>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</si>
  <si>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</si>
  <si>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</si>
  <si>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</si>
  <si>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</si>
  <si>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</si>
  <si>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</si>
  <si>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</si>
  <si>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</si>
  <si>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</si>
  <si>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</si>
  <si>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</si>
  <si>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</si>
  <si>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</si>
  <si>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</si>
  <si>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</si>
  <si>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</si>
  <si>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</si>
  <si>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</si>
  <si>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</si>
  <si>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</si>
  <si>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</si>
  <si>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</si>
  <si>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</si>
  <si>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</si>
  <si>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</si>
  <si>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</si>
  <si>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</si>
  <si>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</si>
  <si>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</si>
  <si>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</si>
  <si>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</si>
  <si>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</si>
  <si>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</si>
  <si>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</si>
  <si>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</si>
  <si>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</si>
  <si>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</si>
  <si>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</si>
  <si>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</si>
  <si>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</si>
  <si>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</si>
  <si>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</si>
  <si>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</si>
  <si>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</si>
  <si>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</si>
  <si>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</si>
  <si>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</si>
  <si>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</si>
  <si>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</si>
  <si>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</si>
  <si>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</si>
  <si>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</si>
  <si>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</si>
  <si>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</si>
  <si>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</si>
  <si>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</si>
  <si>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</si>
  <si>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</si>
  <si>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</si>
  <si>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</si>
  <si>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</si>
  <si>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</si>
  <si>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</si>
  <si>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</si>
  <si>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</si>
  <si>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</si>
  <si>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</si>
  <si>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</si>
  <si>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</si>
  <si>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</si>
  <si>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</si>
  <si>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</si>
  <si>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</si>
  <si>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</si>
  <si>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</si>
  <si>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</si>
  <si>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</si>
  <si>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</si>
  <si>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</si>
  <si>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</si>
  <si>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</si>
  <si>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</si>
  <si>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</si>
  <si>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</si>
  <si>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</si>
  <si>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</si>
  <si>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</si>
  <si>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</si>
  <si>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</si>
  <si>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</si>
  <si>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</si>
  <si>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</si>
  <si>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</si>
  <si>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</si>
  <si>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</si>
  <si>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</si>
  <si>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</si>
  <si>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</si>
  <si>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</si>
  <si>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</si>
  <si>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</si>
  <si>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</si>
  <si>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</si>
  <si>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</si>
  <si>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</si>
  <si>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</si>
  <si>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</si>
  <si>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</si>
  <si>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</si>
  <si>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</si>
  <si>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</si>
  <si>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</si>
  <si>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</si>
  <si>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</si>
  <si>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</si>
  <si>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</si>
  <si>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</si>
  <si>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</si>
  <si>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</si>
  <si>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</si>
  <si>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</si>
  <si>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</si>
  <si>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</si>
  <si>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</si>
  <si>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</si>
  <si>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</si>
  <si>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</si>
  <si>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</si>
  <si>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</si>
  <si>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</si>
  <si>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</si>
  <si>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</si>
  <si>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</si>
  <si>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</si>
  <si>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</si>
  <si>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</si>
  <si>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</si>
  <si>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</si>
  <si>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</si>
  <si>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</si>
  <si>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</si>
  <si>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</si>
  <si>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</si>
  <si>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</si>
  <si>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</si>
  <si>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</si>
  <si>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</si>
  <si>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</si>
  <si>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</si>
  <si>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</si>
  <si>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</si>
  <si>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</si>
  <si>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</si>
  <si>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</si>
  <si>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</si>
  <si>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</si>
  <si>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</si>
  <si>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</si>
  <si>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</si>
  <si>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</si>
  <si>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</si>
  <si>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</si>
  <si>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</si>
  <si>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</si>
  <si>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</si>
  <si>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</si>
  <si>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</si>
  <si>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</si>
  <si>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</si>
  <si>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</si>
  <si>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</si>
  <si>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</si>
  <si>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</si>
  <si>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</si>
  <si>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</si>
  <si>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</si>
  <si>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</si>
  <si>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</si>
  <si>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</si>
  <si>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</si>
  <si>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</si>
  <si>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</si>
  <si>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</si>
  <si>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</si>
  <si>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</si>
  <si>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</si>
  <si>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</si>
  <si>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</si>
  <si>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</si>
  <si>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</si>
  <si>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</si>
  <si>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</si>
  <si>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</si>
  <si>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</si>
  <si>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</si>
  <si>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</si>
  <si>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</si>
  <si>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</si>
  <si>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</si>
  <si>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</si>
  <si>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</si>
  <si>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</si>
  <si>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</si>
  <si>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</si>
  <si>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</si>
  <si>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</si>
  <si>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</si>
  <si>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</si>
  <si>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</si>
  <si>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</si>
  <si>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</si>
  <si>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</si>
  <si>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</si>
  <si>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</si>
  <si>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</si>
  <si>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</si>
  <si>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</si>
  <si>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</si>
  <si>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</si>
  <si>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</si>
  <si>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</si>
  <si>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</si>
  <si>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</si>
  <si>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</si>
  <si>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</si>
  <si>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</si>
  <si>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</si>
  <si>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</si>
  <si>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</si>
  <si>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</si>
  <si>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</si>
  <si>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</si>
  <si>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</si>
  <si>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</si>
  <si>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</si>
  <si>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</si>
  <si>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</si>
  <si>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</si>
  <si>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</si>
  <si>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</si>
  <si>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</si>
  <si>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</si>
  <si>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</si>
  <si>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</si>
  <si>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</si>
  <si>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</si>
  <si>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</si>
  <si>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</si>
  <si>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</si>
  <si>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</si>
  <si>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</si>
  <si>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</si>
  <si>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</si>
  <si>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</si>
  <si>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</si>
  <si>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</si>
  <si>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</si>
  <si>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</si>
  <si>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</si>
  <si>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</si>
  <si>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</si>
  <si>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</si>
  <si>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</si>
  <si>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</si>
  <si>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</si>
  <si>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</si>
  <si>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</si>
  <si>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</si>
  <si>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</si>
  <si>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</si>
  <si>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</si>
  <si>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</si>
  <si>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</si>
  <si>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</si>
  <si>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</si>
  <si>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</si>
  <si>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</si>
  <si>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</si>
  <si>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</si>
  <si>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</si>
  <si>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</si>
  <si>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</si>
  <si>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</si>
  <si>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</si>
  <si>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</si>
  <si>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</si>
  <si>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</si>
  <si>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</si>
  <si>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</si>
  <si>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</si>
  <si>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</si>
  <si>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</si>
  <si>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</si>
  <si>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</si>
  <si>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</si>
  <si>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</si>
  <si>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</si>
  <si>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</si>
  <si>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</si>
  <si>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</si>
  <si>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</si>
  <si>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</si>
  <si>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</si>
  <si>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</si>
  <si>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</si>
  <si>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</si>
  <si>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</si>
  <si>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</si>
  <si>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</si>
  <si>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</si>
  <si>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</si>
  <si>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</si>
  <si>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</si>
  <si>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</si>
  <si>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</si>
  <si>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</si>
  <si>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</si>
  <si>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</si>
  <si>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</si>
  <si>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</si>
  <si>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</si>
  <si>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</si>
  <si>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</si>
  <si>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</si>
  <si>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</si>
  <si>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</si>
  <si>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</si>
  <si>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</si>
  <si>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</si>
  <si>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</si>
  <si>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</si>
  <si>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</si>
  <si>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</si>
  <si>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</si>
  <si>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</si>
  <si>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</si>
  <si>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</si>
  <si>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</si>
  <si>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</si>
  <si>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</si>
  <si>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</si>
  <si>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</si>
  <si>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</si>
  <si>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</si>
  <si>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</si>
  <si>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</si>
  <si>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</si>
  <si>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</si>
  <si>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</si>
  <si>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</si>
  <si>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</si>
  <si>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</si>
  <si>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</si>
  <si>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</si>
  <si>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</si>
  <si>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</si>
  <si>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</si>
  <si>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</si>
  <si>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</si>
  <si>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</si>
  <si>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</si>
  <si>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</si>
  <si>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</si>
  <si>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</si>
  <si>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</si>
  <si>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</si>
  <si>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</si>
  <si>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</si>
  <si>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</si>
  <si>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</si>
  <si>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</si>
  <si>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</si>
  <si>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</si>
  <si>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</si>
  <si>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</si>
  <si>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</si>
  <si>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</si>
  <si>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</si>
  <si>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</si>
  <si>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</si>
  <si>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</si>
  <si>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</si>
  <si>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</si>
  <si>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</si>
  <si>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</si>
  <si>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</si>
  <si>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</si>
  <si>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</si>
  <si>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</si>
  <si>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</si>
  <si>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</si>
  <si>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</si>
  <si>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</si>
  <si>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</si>
  <si>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</si>
  <si>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</si>
  <si>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</si>
  <si>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</si>
  <si>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</si>
  <si>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</si>
  <si>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</si>
  <si>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</si>
  <si>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</si>
  <si>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</si>
  <si>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</si>
  <si>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</si>
  <si>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</si>
  <si>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</si>
  <si>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</si>
  <si>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</si>
  <si>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</si>
  <si>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</si>
  <si>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</si>
  <si>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</si>
  <si>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</si>
  <si>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</si>
  <si>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</si>
  <si>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</si>
  <si>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</si>
  <si>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</si>
  <si>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</si>
  <si>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</si>
  <si>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</si>
  <si>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</si>
  <si>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</si>
  <si>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</si>
  <si>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</si>
  <si>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</si>
  <si>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</si>
  <si>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</si>
  <si>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</si>
  <si>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</si>
  <si>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</si>
  <si>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</si>
  <si>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</si>
  <si>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</si>
  <si>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</si>
  <si>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</si>
  <si>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</si>
  <si>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</si>
  <si>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</si>
  <si>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</si>
  <si>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</si>
  <si>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</si>
  <si>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</si>
  <si>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</si>
  <si>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</si>
  <si>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</si>
  <si>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</si>
  <si>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</si>
  <si>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</si>
  <si>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</si>
  <si>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</si>
  <si>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</si>
  <si>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</si>
  <si>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</si>
  <si>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</si>
  <si>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</si>
  <si>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</si>
  <si>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</si>
  <si>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</si>
  <si>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</si>
  <si>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</si>
  <si>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</si>
  <si>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</si>
  <si>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</si>
  <si>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</si>
  <si>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</si>
  <si>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</si>
  <si>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</si>
  <si>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</si>
  <si>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</si>
  <si>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</si>
  <si>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</si>
  <si>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</si>
  <si>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</si>
  <si>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</si>
  <si>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</si>
  <si>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</si>
  <si>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</si>
  <si>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</si>
  <si>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</si>
  <si>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</si>
  <si>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</si>
  <si>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</si>
  <si>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</si>
  <si>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</si>
  <si>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</si>
  <si>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</si>
  <si>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</si>
  <si>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</si>
  <si>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</si>
  <si>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</si>
  <si>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</si>
  <si>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</si>
  <si>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</si>
  <si>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</si>
  <si>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</si>
  <si>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</si>
  <si>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</si>
  <si>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</si>
  <si>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</si>
  <si>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</si>
  <si>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</si>
  <si>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</si>
  <si>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</si>
  <si>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</si>
  <si>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</si>
  <si>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</si>
  <si>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</si>
  <si>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</si>
  <si>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</si>
  <si>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</si>
  <si>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</si>
  <si>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</si>
  <si>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</si>
  <si>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</si>
  <si>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</si>
  <si>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</si>
  <si>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</si>
  <si>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</si>
  <si>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</si>
  <si>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</si>
  <si>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</si>
  <si>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</si>
  <si>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</si>
  <si>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</si>
  <si>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</si>
  <si>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</si>
  <si>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</si>
  <si>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</si>
  <si>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</si>
  <si>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</si>
  <si>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</si>
  <si>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</si>
  <si>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</si>
  <si>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</si>
  <si>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</si>
  <si>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</si>
  <si>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</si>
  <si>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</si>
  <si>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</si>
  <si>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</si>
  <si>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</si>
  <si>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</si>
  <si>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</si>
  <si>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</si>
  <si>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</si>
  <si>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</si>
  <si>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</si>
  <si>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</si>
  <si>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</si>
  <si>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</si>
  <si>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</si>
  <si>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</si>
  <si>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</si>
  <si>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</si>
  <si>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</si>
  <si>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</si>
  <si>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</si>
  <si>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</si>
  <si>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</si>
  <si>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</si>
  <si>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</si>
  <si>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</si>
  <si>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</si>
  <si>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</si>
  <si>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</si>
  <si>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</si>
  <si>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</si>
  <si>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</si>
  <si>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</si>
  <si>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</si>
  <si>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</si>
  <si>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</si>
  <si>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</si>
  <si>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</si>
  <si>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</si>
  <si>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</si>
  <si>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</si>
  <si>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</si>
  <si>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</si>
  <si>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</si>
  <si>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</si>
  <si>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</si>
  <si>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</si>
  <si>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</si>
  <si>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</si>
  <si>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</si>
  <si>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</si>
  <si>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</si>
  <si>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</si>
  <si>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</si>
  <si>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</si>
  <si>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</si>
  <si>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</si>
  <si>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</si>
  <si>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</si>
  <si>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</si>
  <si>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</si>
  <si>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</si>
  <si>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</si>
  <si>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</si>
  <si>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</si>
  <si>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</si>
  <si>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</si>
  <si>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</si>
  <si>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</si>
  <si>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</si>
  <si>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</si>
  <si>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</si>
  <si>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</si>
  <si>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</si>
  <si>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</si>
  <si>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</si>
  <si>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</si>
  <si>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</si>
  <si>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</si>
  <si>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</si>
  <si>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</si>
  <si>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</si>
  <si>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</si>
  <si>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</si>
  <si>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</si>
  <si>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</si>
  <si>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</si>
  <si>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</si>
  <si>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</si>
  <si>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</si>
  <si>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</si>
  <si>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</si>
  <si>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</si>
  <si>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</si>
  <si>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</si>
  <si>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</si>
  <si>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</si>
  <si>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</si>
  <si>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</si>
  <si>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</si>
  <si>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</si>
  <si>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</si>
  <si>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</si>
  <si>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</si>
  <si>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</si>
  <si>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</si>
  <si>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</si>
  <si>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</si>
  <si>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</si>
  <si>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</si>
  <si>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</si>
  <si>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</si>
  <si>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</si>
  <si>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</si>
  <si>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</si>
  <si>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</si>
  <si>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</si>
  <si>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</si>
  <si>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</si>
  <si>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</si>
  <si>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</si>
  <si>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</si>
  <si>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</si>
  <si>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</si>
  <si>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</si>
  <si>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</si>
  <si>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</si>
  <si>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</si>
  <si>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</si>
  <si>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</si>
  <si>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</si>
  <si>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</si>
  <si>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</si>
  <si>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</si>
  <si>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</si>
  <si>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</si>
  <si>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</si>
  <si>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</si>
  <si>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</si>
  <si>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</si>
  <si>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</si>
  <si>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</si>
  <si>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</si>
  <si>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</si>
  <si>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</si>
  <si>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</si>
  <si>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</si>
  <si>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</si>
  <si>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</si>
  <si>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</si>
  <si>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</si>
  <si>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</si>
  <si>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</si>
  <si>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</si>
  <si>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</si>
  <si>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</si>
  <si>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</si>
  <si>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</si>
  <si>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</si>
  <si>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</si>
  <si>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</si>
  <si>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</si>
  <si>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</si>
  <si>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</si>
  <si>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</si>
  <si>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</si>
  <si>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</si>
  <si>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</si>
  <si>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</si>
  <si>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</si>
  <si>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</si>
  <si>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</si>
  <si>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</si>
  <si>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</si>
  <si>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</si>
  <si>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</si>
  <si>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</si>
  <si>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</si>
  <si>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</si>
  <si>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</si>
  <si>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</si>
  <si>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</si>
  <si>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</si>
  <si>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</si>
  <si>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</si>
  <si>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</si>
  <si>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</si>
  <si>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</si>
  <si>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</si>
  <si>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</si>
  <si>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</si>
  <si>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</si>
  <si>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</si>
  <si>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</si>
  <si>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</si>
  <si>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</si>
  <si>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</si>
  <si>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</si>
  <si>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</si>
  <si>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</si>
  <si>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</si>
  <si>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</si>
  <si>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</si>
  <si>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</si>
  <si>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</si>
  <si>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</si>
  <si>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</si>
  <si>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</si>
  <si>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</si>
  <si>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</si>
  <si>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</si>
  <si>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</si>
  <si>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</si>
  <si>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</si>
  <si>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</si>
  <si>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</si>
  <si>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</si>
  <si>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</si>
  <si>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</si>
  <si>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</si>
  <si>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</si>
  <si>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</si>
  <si>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</si>
  <si>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</si>
  <si>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</si>
  <si>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</si>
  <si>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</si>
  <si>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</si>
  <si>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</si>
  <si>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</si>
  <si>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</si>
  <si>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</si>
  <si>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</si>
  <si>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</si>
  <si>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</si>
  <si>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</si>
  <si>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</si>
  <si>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</si>
  <si>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</si>
  <si>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</si>
  <si>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</si>
  <si>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</si>
  <si>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</si>
  <si>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</si>
  <si>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</si>
  <si>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</si>
  <si>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</si>
  <si>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</si>
  <si>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</si>
  <si>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</si>
  <si>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</si>
  <si>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</si>
  <si>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</si>
  <si>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</si>
  <si>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</si>
  <si>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</si>
  <si>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</si>
  <si>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</si>
  <si>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</si>
  <si>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</si>
  <si>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</si>
  <si>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</si>
  <si>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</si>
  <si>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</si>
  <si>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</si>
  <si>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</si>
  <si>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</si>
  <si>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</si>
  <si>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</si>
  <si>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</si>
  <si>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</si>
  <si>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</si>
  <si>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</si>
  <si>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</si>
  <si>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</si>
  <si>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</si>
  <si>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</si>
  <si>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</si>
  <si>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</si>
  <si>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</si>
  <si>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</si>
  <si>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</si>
  <si>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</si>
  <si>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</si>
  <si>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</si>
  <si>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</si>
  <si>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</si>
  <si>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</si>
  <si>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</si>
  <si>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</si>
  <si>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</si>
  <si>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</si>
  <si>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</si>
  <si>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</si>
  <si>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</si>
  <si>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</si>
  <si>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</si>
  <si>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</si>
  <si>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</si>
  <si>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</si>
  <si>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</si>
  <si>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</si>
  <si>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</si>
  <si>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</si>
  <si>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</si>
  <si>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</si>
  <si>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</si>
  <si>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</si>
  <si>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</si>
  <si>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</si>
  <si>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</si>
  <si>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</si>
  <si>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</si>
  <si>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</si>
  <si>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</si>
  <si>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</si>
  <si>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</si>
  <si>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</si>
  <si>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</si>
  <si>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</si>
  <si>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</si>
  <si>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</si>
  <si>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</si>
  <si>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</si>
  <si>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</si>
  <si>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</si>
  <si>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</si>
  <si>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</si>
  <si>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</si>
  <si>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</si>
  <si>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</si>
  <si>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</si>
  <si>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</si>
  <si>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</si>
  <si>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</si>
  <si>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</si>
  <si>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</si>
  <si>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</si>
  <si>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</si>
  <si>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</si>
  <si>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</si>
  <si>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</si>
  <si>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</si>
  <si>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</si>
  <si>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</si>
  <si>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</si>
  <si>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</si>
  <si>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</si>
  <si>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</si>
  <si>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</si>
  <si>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</si>
  <si>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</si>
  <si>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</si>
  <si>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</si>
  <si>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</si>
  <si>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</si>
  <si>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</si>
  <si>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</si>
  <si>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</si>
  <si>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</si>
  <si>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</si>
  <si>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</si>
  <si>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</si>
  <si>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</si>
  <si>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</si>
  <si>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</si>
  <si>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</si>
  <si>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</si>
  <si>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</si>
  <si>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</si>
  <si>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</si>
  <si>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</si>
  <si>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</si>
  <si>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</si>
  <si>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</si>
  <si>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</si>
  <si>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</si>
  <si>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</si>
  <si>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</si>
  <si>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</si>
  <si>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</si>
  <si>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</si>
  <si>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</si>
  <si>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</si>
  <si>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</si>
  <si>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</si>
  <si>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</si>
  <si>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</si>
  <si>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</si>
  <si>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</si>
  <si>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</si>
  <si>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</si>
  <si>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</si>
  <si>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</si>
  <si>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</si>
  <si>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</si>
  <si>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</si>
  <si>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</si>
  <si>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</si>
  <si>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</si>
  <si>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</si>
  <si>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</si>
  <si>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</si>
  <si>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</si>
  <si>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</si>
  <si>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</si>
  <si>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</si>
  <si>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</si>
  <si>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</si>
  <si>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</si>
  <si>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</si>
  <si>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</si>
  <si>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</si>
  <si>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</si>
  <si>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</si>
  <si>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</si>
  <si>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</si>
  <si>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</si>
  <si>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</si>
  <si>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</si>
  <si>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</si>
  <si>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</si>
  <si>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</si>
  <si>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</si>
  <si>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</si>
  <si>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</si>
  <si>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</si>
  <si>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</si>
  <si>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</si>
  <si>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</si>
  <si>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</si>
  <si>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</si>
  <si>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</si>
  <si>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</si>
  <si>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</si>
  <si>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</si>
  <si>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</si>
  <si>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</si>
  <si>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</si>
  <si>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</si>
  <si>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</si>
  <si>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</si>
  <si>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</si>
  <si>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</si>
  <si>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</si>
  <si>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</si>
  <si>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</si>
  <si>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</si>
  <si>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</si>
  <si>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</si>
  <si>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</si>
  <si>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</si>
  <si>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</si>
  <si>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</si>
  <si>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</si>
  <si>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</si>
  <si>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</si>
  <si>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</si>
  <si>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</si>
  <si>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</si>
  <si>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</si>
  <si>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</si>
  <si>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</si>
  <si>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</si>
  <si>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</si>
  <si>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</si>
  <si>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</si>
  <si>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</si>
  <si>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</si>
  <si>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</si>
  <si>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</si>
  <si>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</si>
  <si>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</si>
  <si>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</si>
  <si>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</si>
  <si>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</si>
  <si>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</si>
  <si>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</si>
  <si>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</si>
  <si>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</si>
  <si>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</si>
  <si>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</si>
  <si>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</si>
  <si>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</si>
  <si>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</si>
  <si>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</si>
  <si>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</si>
  <si>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</si>
  <si>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</si>
  <si>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</si>
  <si>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</si>
  <si>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</si>
  <si>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</si>
  <si>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</si>
  <si>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</si>
  <si>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</si>
  <si>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</si>
  <si>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</si>
  <si>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</si>
  <si>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</si>
  <si>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</si>
  <si>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</si>
  <si>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</si>
  <si>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</si>
  <si>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</si>
  <si>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</si>
  <si>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</si>
  <si>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</si>
  <si>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</si>
  <si>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</si>
  <si>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</si>
  <si>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</si>
  <si>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</si>
  <si>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</si>
  <si>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</si>
  <si>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</si>
  <si>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</si>
  <si>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</si>
  <si>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</si>
  <si>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</si>
  <si>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</si>
  <si>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</si>
  <si>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</si>
  <si>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</si>
  <si>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</si>
  <si>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</si>
  <si>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</si>
  <si>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</si>
  <si>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</si>
  <si>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</si>
  <si>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</si>
  <si>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</si>
  <si>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</si>
  <si>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</si>
  <si>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</si>
  <si>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</si>
  <si>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</si>
  <si>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</si>
  <si>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</si>
  <si>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</si>
  <si>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</si>
  <si>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</si>
  <si>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</si>
  <si>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</si>
  <si>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</si>
  <si>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</si>
  <si>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</si>
  <si>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</si>
  <si>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</si>
  <si>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</si>
  <si>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</si>
  <si>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</si>
  <si>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</si>
  <si>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</si>
  <si>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</si>
  <si>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</si>
  <si>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</si>
  <si>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</si>
  <si>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</si>
  <si>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</si>
  <si>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</si>
  <si>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</si>
  <si>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</si>
  <si>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</si>
  <si>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</si>
  <si>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</si>
  <si>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</si>
  <si>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</si>
  <si>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</si>
  <si>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</si>
  <si>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</si>
  <si>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</si>
  <si>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</si>
  <si>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</si>
  <si>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</si>
  <si>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</si>
  <si>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</si>
  <si>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</si>
  <si>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</si>
  <si>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</si>
  <si>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</si>
  <si>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</si>
  <si>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</si>
  <si>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</si>
  <si>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</si>
  <si>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</si>
  <si>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</si>
  <si>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</si>
  <si>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</si>
  <si>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</si>
  <si>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</si>
  <si>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</si>
  <si>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</si>
  <si>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</si>
  <si>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</si>
  <si>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</si>
  <si>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</si>
  <si>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</si>
  <si>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</si>
  <si>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</si>
  <si>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</si>
  <si>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</si>
  <si>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</si>
  <si>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</si>
  <si>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</si>
  <si>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</si>
  <si>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</si>
  <si>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</si>
  <si>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</si>
  <si>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</si>
  <si>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</si>
  <si>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</si>
  <si>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</si>
  <si>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</si>
  <si>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</si>
  <si>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</si>
  <si>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</si>
  <si>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</si>
  <si>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</si>
  <si>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</si>
  <si>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</si>
  <si>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</si>
  <si>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</si>
  <si>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</si>
  <si>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</si>
  <si>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</si>
  <si>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</si>
  <si>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</si>
  <si>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</si>
  <si>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</si>
  <si>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</si>
  <si>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</si>
  <si>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</si>
  <si>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</si>
  <si>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</si>
  <si>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</si>
  <si>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</si>
  <si>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</si>
  <si>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</si>
  <si>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</si>
  <si>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</si>
  <si>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</si>
  <si>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</si>
  <si>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</si>
  <si>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</si>
  <si>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</si>
  <si>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</si>
  <si>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</si>
  <si>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</si>
  <si>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</si>
  <si>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</si>
  <si>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</si>
  <si>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</si>
  <si>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</si>
  <si>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</si>
  <si>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</si>
  <si>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</si>
  <si>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</si>
  <si>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</si>
  <si>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</si>
  <si>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</si>
  <si>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</si>
  <si>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</si>
  <si>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</si>
  <si>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</si>
  <si>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</si>
  <si>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</si>
  <si>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</si>
  <si>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</si>
  <si>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</si>
  <si>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</si>
  <si>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</si>
  <si>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</si>
  <si>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</si>
  <si>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</si>
  <si>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</si>
  <si>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</si>
  <si>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</si>
  <si>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</si>
  <si>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</si>
  <si>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</si>
  <si>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</si>
  <si>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</si>
  <si>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</si>
  <si>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</si>
  <si>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</si>
  <si>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</si>
  <si>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</si>
  <si>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</si>
  <si>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</si>
  <si>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</si>
  <si>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</si>
  <si>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</si>
  <si>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</si>
  <si>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</si>
  <si>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</si>
  <si>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</si>
  <si>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</si>
  <si>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</si>
  <si>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</si>
  <si>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</si>
  <si>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</si>
  <si>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</si>
  <si>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</si>
  <si>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</si>
  <si>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</si>
  <si>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</si>
  <si>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</si>
  <si>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</si>
  <si>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</si>
  <si>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</si>
  <si>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</si>
  <si>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</si>
  <si>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</si>
  <si>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</si>
  <si>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</si>
  <si>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</si>
  <si>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</si>
  <si>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</si>
  <si>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</si>
  <si>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</si>
  <si>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</si>
  <si>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</si>
  <si>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</si>
  <si>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</si>
  <si>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</si>
  <si>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</si>
  <si>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</si>
  <si>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</si>
  <si>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</si>
  <si>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</si>
  <si>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</si>
  <si>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</si>
  <si>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</si>
  <si>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</si>
  <si>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</si>
  <si>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</si>
  <si>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</si>
  <si>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</si>
  <si>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</si>
  <si>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</si>
  <si>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</si>
  <si>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</si>
  <si>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</si>
  <si>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</si>
  <si>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</si>
  <si>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</si>
  <si>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</si>
  <si>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</si>
  <si>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</si>
  <si>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</si>
  <si>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</si>
  <si>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</si>
  <si>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</si>
  <si>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</si>
  <si>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</si>
  <si>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</si>
  <si>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</si>
  <si>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</si>
  <si>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</si>
  <si>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</si>
  <si>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</si>
  <si>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</si>
  <si>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</si>
  <si>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</si>
  <si>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</si>
  <si>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</si>
  <si>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</si>
  <si>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</si>
  <si>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</si>
  <si>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</si>
  <si>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</si>
  <si>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</si>
  <si>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</si>
  <si>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</si>
  <si>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</si>
  <si>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</si>
  <si>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</si>
  <si>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</si>
  <si>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</si>
  <si>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</si>
  <si>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</si>
  <si>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</si>
  <si>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</si>
  <si>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</si>
  <si>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</si>
  <si>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</si>
  <si>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</si>
  <si>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</si>
  <si>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</si>
  <si>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</si>
  <si>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</si>
  <si>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</si>
  <si>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</si>
  <si>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</si>
  <si>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</si>
  <si>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</si>
  <si>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</si>
  <si>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</si>
  <si>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</si>
  <si>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</si>
  <si>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</si>
  <si>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</si>
  <si>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</si>
  <si>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</si>
  <si>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</si>
  <si>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</si>
  <si>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</si>
  <si>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</si>
  <si>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</si>
  <si>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</si>
  <si>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</si>
  <si>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</si>
  <si>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</si>
  <si>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</si>
  <si>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</si>
  <si>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</si>
  <si>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</si>
  <si>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</si>
  <si>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</si>
  <si>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</si>
  <si>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</si>
  <si>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</si>
  <si>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</si>
  <si>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</si>
  <si>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</si>
  <si>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</si>
  <si>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</si>
  <si>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</si>
  <si>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</si>
  <si>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</si>
  <si>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</si>
  <si>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</si>
  <si>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</si>
  <si>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</si>
  <si>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</si>
  <si>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</si>
  <si>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</si>
  <si>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</si>
  <si>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</si>
  <si>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</si>
  <si>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</si>
  <si>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</si>
  <si>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</si>
  <si>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</si>
  <si>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</si>
  <si>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</si>
  <si>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</si>
  <si>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</si>
  <si>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</si>
  <si>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</si>
  <si>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</si>
  <si>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</si>
  <si>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</si>
  <si>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</si>
  <si>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</si>
  <si>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</si>
  <si>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</si>
  <si>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</si>
  <si>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</si>
  <si>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</si>
  <si>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</si>
  <si>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</si>
  <si>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</si>
  <si>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</si>
  <si>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</si>
  <si>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</si>
  <si>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</si>
  <si>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</si>
  <si>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</si>
  <si>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</si>
  <si>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</si>
  <si>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</si>
  <si>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</si>
  <si>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</si>
  <si>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</si>
  <si>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</si>
  <si>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</si>
  <si>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</si>
  <si>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</si>
  <si>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</si>
  <si>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</si>
  <si>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</si>
  <si>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</si>
  <si>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</si>
  <si>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</si>
  <si>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</si>
  <si>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</si>
  <si>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</si>
  <si>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</si>
  <si>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</si>
  <si>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</si>
  <si>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</si>
  <si>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</si>
  <si>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</si>
  <si>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</si>
  <si>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</si>
  <si>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</si>
  <si>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</si>
  <si>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</si>
  <si>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</si>
  <si>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</si>
  <si>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</si>
  <si>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</si>
  <si>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</si>
  <si>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</si>
  <si>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</si>
  <si>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</si>
  <si>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</si>
  <si>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</si>
  <si>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</si>
  <si>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</si>
  <si>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</si>
  <si>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</si>
  <si>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</si>
  <si>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</si>
  <si>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</si>
  <si>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</si>
  <si>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</si>
  <si>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</si>
  <si>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</si>
  <si>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</si>
  <si>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</si>
  <si>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</si>
  <si>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</si>
  <si>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</si>
  <si>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</si>
  <si>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</si>
  <si>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</si>
  <si>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</si>
  <si>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</si>
  <si>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</si>
  <si>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</si>
  <si>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</si>
  <si>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</si>
  <si>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</si>
  <si>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</si>
  <si>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</si>
  <si>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</si>
  <si>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</si>
  <si>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</si>
  <si>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</si>
  <si>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</si>
  <si>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</si>
  <si>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</si>
  <si>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</si>
  <si>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</si>
  <si>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</si>
  <si>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</si>
  <si>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</si>
  <si>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</si>
  <si>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</si>
  <si>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</si>
  <si>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</si>
  <si>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</si>
  <si>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</si>
  <si>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</si>
  <si>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</si>
  <si>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</si>
  <si>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</si>
  <si>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</si>
  <si>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</si>
  <si>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</si>
  <si>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</si>
  <si>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</si>
  <si>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</si>
  <si>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</si>
  <si>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</si>
  <si>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</si>
  <si>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</si>
  <si>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</si>
  <si>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</si>
  <si>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</si>
  <si>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</si>
  <si>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</si>
  <si>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</si>
  <si>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</si>
  <si>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</si>
  <si>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</si>
  <si>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</si>
  <si>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</si>
  <si>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</si>
  <si>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</si>
  <si>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</si>
  <si>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</si>
  <si>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</si>
  <si>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</si>
  <si>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</si>
  <si>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</si>
  <si>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</si>
  <si>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</si>
  <si>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</si>
  <si>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</si>
  <si>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</si>
  <si>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</si>
  <si>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</si>
  <si>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</si>
  <si>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</si>
  <si>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</si>
  <si>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</si>
  <si>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</si>
  <si>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</si>
  <si>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</si>
  <si>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</si>
  <si>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</si>
  <si>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</si>
  <si>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</si>
  <si>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</si>
  <si>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</si>
  <si>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</si>
  <si>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</si>
  <si>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</si>
  <si>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</si>
  <si>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</si>
  <si>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</si>
  <si>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</si>
  <si>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</si>
  <si>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</si>
  <si>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</si>
  <si>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</si>
  <si>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</si>
  <si>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</si>
  <si>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</si>
  <si>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</si>
  <si>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</si>
  <si>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</si>
  <si>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</si>
  <si>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</si>
  <si>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</si>
  <si>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</si>
  <si>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</si>
  <si>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</si>
  <si>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</si>
  <si>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</si>
  <si>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</si>
  <si>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</si>
  <si>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</si>
  <si>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</si>
  <si>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</si>
  <si>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</si>
  <si>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</si>
  <si>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</si>
  <si>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</si>
  <si>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</si>
  <si>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</si>
  <si>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</si>
  <si>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</si>
  <si>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</si>
  <si>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</si>
  <si>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</si>
  <si>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</si>
  <si>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</si>
  <si>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</si>
  <si>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</si>
  <si>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</si>
  <si>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</si>
  <si>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</si>
  <si>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</si>
  <si>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</si>
  <si>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</si>
  <si>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</si>
  <si>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</si>
  <si>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</si>
  <si>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</si>
  <si>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</si>
  <si>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</si>
  <si>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</si>
  <si>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</si>
  <si>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</si>
  <si>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</si>
  <si>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</si>
  <si>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</si>
  <si>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</si>
  <si>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</si>
  <si>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</si>
  <si>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</si>
  <si>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</si>
  <si>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</si>
  <si>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</si>
  <si>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</si>
  <si>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</si>
  <si>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</si>
  <si>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</si>
  <si>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</si>
  <si>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</si>
  <si>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</si>
  <si>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</si>
  <si>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</si>
  <si>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</si>
  <si>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</si>
  <si>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</si>
  <si>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</si>
  <si>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</si>
  <si>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</si>
  <si>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</si>
  <si>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</si>
  <si>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</si>
  <si>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</si>
  <si>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</si>
  <si>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</si>
  <si>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</si>
  <si>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</si>
  <si>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</si>
  <si>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</si>
  <si>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</si>
  <si>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</si>
  <si>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</si>
  <si>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</si>
  <si>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</si>
  <si>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</si>
  <si>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</si>
  <si>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</si>
  <si>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</si>
  <si>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</si>
  <si>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</si>
  <si>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</si>
  <si>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</si>
  <si>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</si>
  <si>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</si>
  <si>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</si>
  <si>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</si>
  <si>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</si>
  <si>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</si>
  <si>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</si>
  <si>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</si>
  <si>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</si>
  <si>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</si>
  <si>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</si>
  <si>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</si>
  <si>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</si>
  <si>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</si>
  <si>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</si>
  <si>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</si>
  <si>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</si>
  <si>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</si>
  <si>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</si>
  <si>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</si>
  <si>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</si>
  <si>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</si>
  <si>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</si>
  <si>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</si>
  <si>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</si>
  <si>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</si>
  <si>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</si>
  <si>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</si>
  <si>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</si>
  <si>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</si>
  <si>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</si>
  <si>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</si>
  <si>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</si>
  <si>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</si>
  <si>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</si>
  <si>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</si>
  <si>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</si>
  <si>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</si>
  <si>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</si>
  <si>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</si>
  <si>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</si>
  <si>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</si>
  <si>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</si>
  <si>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</si>
  <si>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</si>
  <si>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</si>
  <si>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</si>
  <si>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</si>
  <si>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</si>
  <si>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</si>
  <si>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</si>
  <si>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</si>
  <si>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</si>
  <si>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</si>
  <si>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</si>
  <si>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</si>
  <si>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</si>
  <si>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</si>
  <si>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</si>
  <si>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</si>
  <si>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</si>
  <si>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</si>
  <si>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</si>
  <si>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</si>
  <si>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</si>
  <si>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</si>
  <si>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</si>
  <si>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</si>
  <si>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</si>
  <si>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</si>
  <si>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</si>
  <si>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</si>
  <si>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</si>
  <si>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</si>
  <si>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</si>
  <si>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</si>
  <si>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</si>
  <si>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</si>
  <si>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</si>
  <si>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</si>
  <si>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</si>
  <si>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</si>
  <si>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</si>
  <si>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</si>
  <si>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</si>
  <si>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</si>
  <si>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</si>
  <si>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</si>
  <si>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</si>
  <si>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</si>
  <si>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</si>
  <si>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</si>
  <si>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</si>
  <si>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</si>
  <si>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</si>
  <si>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</si>
  <si>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</si>
  <si>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</si>
  <si>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</si>
  <si>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</si>
  <si>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</si>
  <si>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</si>
  <si>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</si>
  <si>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</si>
  <si>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</si>
  <si>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</si>
  <si>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</si>
  <si>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</si>
  <si>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</si>
  <si>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</si>
  <si>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</si>
  <si>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</si>
  <si>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</si>
  <si>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</si>
  <si>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</si>
  <si>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</si>
  <si>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</si>
  <si>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</si>
  <si>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</si>
  <si>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</si>
  <si>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</si>
  <si>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</si>
  <si>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</si>
  <si>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</si>
  <si>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</si>
  <si>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</si>
  <si>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</si>
  <si>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</si>
  <si>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</si>
  <si>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</si>
  <si>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</si>
  <si>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</si>
  <si>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</si>
  <si>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</si>
  <si>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</si>
  <si>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</si>
  <si>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</si>
  <si>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</si>
  <si>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</si>
  <si>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</si>
  <si>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</si>
  <si>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</si>
  <si>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</si>
  <si>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</si>
  <si>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</si>
  <si>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</si>
  <si>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</si>
  <si>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</si>
  <si>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</si>
  <si>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</si>
  <si>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</si>
  <si>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</si>
  <si>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</si>
  <si>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</si>
  <si>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</si>
  <si>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</si>
  <si>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</si>
  <si>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</si>
  <si>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</si>
  <si>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</si>
  <si>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</si>
  <si>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</si>
  <si>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</si>
  <si>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</si>
  <si>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</si>
  <si>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</si>
  <si>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</si>
  <si>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</si>
  <si>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</si>
  <si>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</si>
  <si>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</si>
  <si>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</si>
  <si>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</si>
  <si>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</si>
  <si>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</si>
  <si>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</si>
  <si>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</si>
  <si>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</si>
  <si>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</si>
  <si>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</si>
  <si>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</si>
  <si>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</si>
  <si>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</si>
  <si>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</si>
  <si>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</si>
  <si>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</si>
  <si>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</si>
  <si>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</si>
  <si>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</si>
  <si>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</si>
  <si>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</si>
  <si>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</si>
  <si>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</si>
  <si>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</si>
  <si>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</si>
  <si>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</si>
  <si>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</si>
  <si>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</si>
  <si>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</si>
  <si>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</si>
  <si>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</si>
  <si>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</si>
  <si>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</si>
  <si>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</si>
  <si>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</si>
  <si>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</si>
  <si>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</si>
  <si>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</si>
  <si>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</si>
  <si>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</si>
  <si>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</si>
  <si>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</si>
  <si>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</si>
  <si>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</si>
  <si>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</si>
  <si>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</si>
  <si>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</si>
  <si>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</si>
  <si>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</si>
  <si>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</si>
  <si>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</si>
  <si>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</si>
  <si>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</si>
  <si>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</si>
  <si>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</si>
  <si>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</si>
  <si>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</si>
  <si>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</si>
  <si>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</si>
  <si>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</si>
  <si>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</si>
  <si>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</si>
  <si>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</si>
  <si>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</si>
  <si>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</si>
  <si>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</si>
  <si>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</si>
  <si>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</si>
  <si>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</si>
  <si>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</si>
  <si>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</si>
  <si>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</si>
  <si>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</si>
  <si>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</si>
  <si>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</si>
  <si>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</si>
  <si>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</si>
  <si>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</si>
  <si>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</si>
  <si>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</si>
  <si>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</si>
  <si>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</si>
  <si>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</si>
  <si>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</si>
  <si>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</si>
  <si>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</si>
  <si>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</si>
  <si>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</si>
  <si>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</si>
  <si>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</si>
  <si>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</si>
  <si>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</si>
  <si>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</si>
  <si>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</si>
  <si>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</si>
  <si>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</si>
  <si>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</si>
  <si>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</si>
  <si>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</si>
  <si>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</si>
  <si>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</si>
  <si>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</si>
  <si>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</si>
  <si>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</si>
  <si>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</si>
  <si>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</si>
  <si>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</si>
  <si>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</si>
  <si>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</si>
  <si>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</si>
  <si>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</si>
  <si>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</si>
  <si>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</si>
  <si>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</si>
  <si>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</si>
  <si>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</si>
  <si>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</si>
  <si>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</si>
  <si>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</si>
  <si>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</si>
  <si>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</si>
  <si>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</si>
  <si>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</si>
  <si>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</si>
  <si>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</si>
  <si>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</si>
  <si>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</si>
  <si>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</si>
  <si>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</si>
  <si>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</si>
  <si>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</si>
  <si>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</si>
  <si>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</si>
  <si>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</si>
  <si>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</si>
  <si>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</si>
  <si>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</si>
  <si>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</si>
  <si>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</si>
  <si>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</si>
  <si>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</si>
  <si>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</si>
  <si>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</si>
  <si>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</si>
  <si>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</si>
  <si>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</si>
  <si>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</si>
  <si>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</si>
  <si>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</si>
  <si>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</si>
  <si>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</si>
  <si>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</si>
  <si>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</si>
  <si>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</si>
  <si>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</si>
  <si>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</si>
  <si>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</si>
  <si>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</si>
  <si>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</si>
  <si>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</si>
  <si>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</si>
  <si>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</si>
  <si>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</si>
  <si>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</si>
  <si>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</si>
  <si>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</si>
  <si>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</si>
  <si>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</si>
  <si>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</si>
  <si>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</si>
  <si>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</si>
  <si>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</si>
  <si>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</si>
  <si>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</si>
  <si>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</si>
  <si>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</si>
  <si>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</si>
  <si>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</si>
  <si>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</si>
  <si>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</si>
  <si>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</si>
  <si>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</si>
  <si>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</si>
  <si>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</si>
  <si>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</si>
  <si>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</si>
  <si>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</si>
  <si>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</si>
  <si>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</si>
  <si>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</si>
  <si>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</si>
  <si>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</si>
  <si>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</si>
  <si>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</si>
  <si>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</si>
  <si>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</si>
  <si>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</si>
  <si>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</si>
  <si>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</si>
  <si>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</si>
  <si>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</si>
  <si>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</si>
  <si>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</si>
  <si>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</si>
  <si>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</si>
  <si>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</si>
  <si>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</si>
  <si>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</si>
  <si>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</si>
  <si>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</si>
  <si>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</si>
  <si>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</si>
  <si>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</si>
  <si>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</si>
  <si>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</si>
  <si>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</si>
  <si>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</si>
  <si>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</si>
  <si>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</si>
  <si>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</si>
  <si>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</si>
  <si>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</si>
  <si>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</si>
  <si>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</si>
  <si>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</si>
  <si>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</si>
  <si>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</si>
  <si>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</si>
  <si>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</si>
  <si>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</si>
  <si>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</si>
  <si>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</si>
  <si>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</si>
  <si>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</si>
  <si>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</si>
  <si>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</si>
  <si>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</si>
  <si>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</si>
  <si>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</si>
  <si>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</si>
  <si>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</si>
  <si>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</si>
  <si>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</si>
  <si>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</si>
  <si>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</si>
  <si>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</si>
  <si>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</si>
  <si>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</si>
  <si>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</si>
  <si>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</si>
  <si>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</si>
  <si>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</si>
  <si>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</si>
  <si>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</si>
  <si>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</si>
  <si>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</si>
  <si>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</si>
  <si>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</si>
  <si>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</si>
  <si>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</si>
  <si>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</si>
  <si>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</si>
  <si>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</si>
  <si>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</si>
  <si>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</si>
  <si>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</si>
  <si>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</si>
  <si>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</si>
  <si>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</si>
  <si>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</si>
  <si>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</si>
  <si>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</si>
  <si>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</si>
  <si>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</si>
  <si>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</si>
  <si>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</si>
  <si>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</si>
  <si>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</si>
  <si>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</si>
  <si>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</si>
  <si>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</si>
  <si>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</si>
  <si>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</si>
  <si>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</si>
  <si>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</si>
  <si>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</si>
  <si>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</si>
  <si>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</si>
  <si>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</si>
  <si>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</si>
  <si>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</si>
  <si>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</si>
  <si>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</si>
  <si>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</si>
  <si>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</si>
  <si>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</si>
  <si>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</si>
  <si>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</si>
  <si>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</si>
  <si>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</si>
  <si>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</si>
  <si>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</si>
  <si>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</si>
  <si>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</si>
  <si>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</si>
  <si>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</si>
  <si>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</si>
  <si>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</si>
  <si>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</si>
  <si>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</si>
  <si>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</si>
  <si>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</si>
  <si>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</si>
  <si>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</si>
  <si>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</si>
  <si>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</si>
  <si>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</si>
  <si>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</si>
  <si>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</si>
  <si>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</si>
  <si>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</si>
  <si>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</si>
  <si>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</si>
  <si>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</si>
  <si>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</si>
  <si>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</si>
  <si>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</si>
  <si>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</si>
  <si>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</si>
  <si>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</si>
  <si>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</si>
  <si>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</si>
  <si>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</si>
  <si>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</si>
  <si>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</si>
  <si>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</si>
  <si>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</si>
  <si>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</si>
  <si>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</si>
  <si>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</si>
  <si>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</si>
  <si>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</si>
  <si>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</si>
  <si>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</si>
  <si>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</si>
  <si>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</si>
  <si>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</si>
  <si>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</si>
  <si>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</si>
  <si>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</si>
  <si>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</si>
  <si>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</si>
  <si>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</si>
  <si>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</si>
  <si>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</si>
  <si>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</si>
  <si>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</si>
  <si>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</si>
  <si>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</si>
  <si>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</si>
  <si>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</si>
  <si>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</si>
  <si>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</si>
  <si>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</si>
  <si>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</si>
  <si>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</si>
  <si>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</si>
  <si>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</si>
  <si>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</si>
  <si>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</si>
  <si>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</si>
  <si>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</si>
  <si>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</si>
  <si>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</si>
  <si>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</si>
  <si>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</si>
  <si>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</si>
  <si>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</si>
  <si>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</si>
  <si>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</si>
  <si>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</si>
  <si>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</si>
  <si>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</si>
  <si>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</si>
  <si>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</si>
  <si>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</si>
  <si>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</si>
  <si>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</si>
  <si>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</si>
  <si>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</si>
  <si>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</si>
  <si>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</si>
  <si>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</si>
  <si>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</si>
  <si>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</si>
  <si>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</si>
  <si>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</si>
  <si>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</si>
  <si>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</si>
  <si>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</si>
  <si>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</si>
  <si>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</si>
  <si>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</si>
  <si>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</si>
  <si>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</si>
  <si>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</si>
  <si>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</si>
  <si>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</si>
  <si>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</si>
  <si>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</si>
  <si>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</si>
  <si>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</si>
  <si>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</si>
  <si>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</si>
  <si>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</si>
  <si>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</si>
  <si>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</si>
  <si>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</si>
  <si>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</si>
  <si>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</si>
  <si>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</si>
  <si>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</si>
  <si>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</si>
  <si>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</si>
  <si>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</si>
  <si>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</si>
  <si>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</si>
  <si>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</si>
  <si>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</si>
  <si>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</si>
  <si>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</si>
  <si>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</si>
  <si>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</si>
  <si>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</si>
  <si>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</si>
  <si>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</si>
  <si>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</si>
  <si>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</si>
  <si>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</si>
  <si>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</si>
  <si>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</si>
  <si>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</si>
  <si>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</si>
  <si>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</si>
  <si>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</si>
  <si>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</si>
  <si>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</si>
  <si>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</si>
  <si>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</si>
  <si>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</si>
  <si>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</si>
  <si>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</si>
  <si>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</si>
  <si>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</si>
  <si>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</si>
  <si>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</si>
  <si>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</si>
  <si>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</si>
  <si>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</si>
  <si>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</si>
  <si>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</si>
  <si>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</si>
  <si>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</si>
  <si>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</si>
  <si>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</si>
  <si>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</si>
  <si>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</si>
  <si>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</si>
  <si>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</si>
  <si>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</si>
  <si>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</si>
  <si>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</si>
  <si>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</si>
  <si>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</si>
  <si>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</si>
  <si>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</si>
  <si>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</si>
  <si>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</si>
  <si>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</si>
  <si>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</si>
  <si>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</si>
  <si>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</si>
  <si>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</si>
  <si>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</si>
  <si>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</si>
  <si>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</si>
  <si>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</si>
  <si>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</si>
  <si>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</si>
  <si>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</si>
  <si>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</si>
  <si>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</si>
  <si>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</si>
  <si>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</si>
  <si>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</si>
  <si>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</si>
  <si>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</si>
  <si>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</si>
  <si>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</si>
  <si>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</si>
  <si>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</si>
  <si>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</si>
  <si>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</si>
  <si>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</si>
  <si>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</si>
  <si>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</si>
  <si>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</si>
  <si>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</si>
  <si>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</si>
  <si>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</si>
  <si>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</si>
  <si>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</si>
  <si>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</si>
  <si>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</si>
  <si>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</si>
  <si>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</si>
  <si>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</si>
  <si>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</si>
  <si>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</si>
  <si>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</si>
  <si>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</si>
  <si>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</si>
  <si>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</si>
  <si>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</si>
  <si>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</si>
  <si>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</si>
  <si>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</si>
  <si>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</si>
  <si>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</si>
  <si>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</si>
  <si>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</si>
  <si>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</si>
  <si>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</si>
  <si>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</si>
  <si>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</si>
  <si>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</si>
  <si>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</si>
  <si>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</si>
  <si>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</si>
  <si>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</si>
  <si>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</si>
  <si>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</si>
  <si>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</si>
  <si>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</si>
  <si>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</si>
  <si>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</si>
  <si>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</si>
  <si>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</si>
  <si>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</si>
  <si>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</si>
  <si>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</si>
  <si>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</si>
  <si>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</si>
  <si>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</si>
  <si>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</si>
  <si>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</si>
  <si>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</si>
  <si>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</si>
  <si>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</si>
  <si>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</si>
  <si>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</si>
  <si>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</si>
  <si>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</si>
  <si>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</si>
  <si>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</si>
  <si>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</si>
  <si>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</si>
  <si>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</si>
  <si>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</si>
  <si>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</si>
  <si>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</si>
  <si>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</si>
  <si>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</si>
  <si>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</si>
  <si>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</si>
  <si>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</si>
  <si>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</si>
  <si>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</si>
  <si>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</si>
  <si>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</si>
  <si>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</si>
  <si>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</si>
  <si>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</si>
  <si>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</si>
  <si>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</si>
  <si>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</si>
  <si>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</si>
  <si>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</si>
  <si>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</si>
  <si>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</si>
  <si>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</si>
  <si>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</si>
  <si>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</si>
  <si>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</si>
  <si>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</si>
  <si>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</si>
  <si>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</si>
  <si>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</si>
  <si>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</si>
  <si>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</si>
  <si>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</si>
  <si>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</si>
  <si>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</si>
  <si>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</si>
  <si>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</si>
  <si>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</si>
  <si>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</si>
  <si>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</si>
  <si>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</si>
  <si>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</si>
  <si>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</si>
  <si>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</si>
  <si>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</si>
  <si>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</si>
  <si>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</si>
  <si>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</si>
  <si>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</si>
  <si>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</si>
  <si>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</si>
  <si>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</si>
  <si>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</si>
  <si>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</si>
  <si>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</si>
  <si>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</si>
  <si>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</si>
  <si>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</si>
  <si>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</si>
  <si>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</si>
  <si>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</si>
  <si>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</si>
  <si>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</si>
  <si>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</si>
  <si>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</si>
  <si>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</si>
  <si>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</si>
  <si>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</si>
  <si>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</si>
  <si>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</si>
  <si>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</si>
  <si>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</si>
  <si>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</si>
  <si>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</si>
  <si>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</si>
  <si>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</si>
  <si>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</si>
  <si>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</si>
  <si>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</si>
  <si>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</si>
  <si>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</si>
  <si>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</si>
  <si>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</si>
  <si>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</si>
  <si>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</si>
  <si>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</si>
  <si>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</si>
  <si>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</si>
  <si>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</si>
  <si>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</si>
  <si>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</si>
  <si>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</si>
  <si>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</si>
  <si>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</si>
  <si>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</si>
  <si>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</si>
  <si>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</si>
  <si>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</si>
  <si>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</si>
  <si>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</si>
  <si>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</si>
  <si>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</si>
  <si>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</si>
  <si>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</si>
  <si>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</si>
  <si>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</si>
  <si>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</si>
  <si>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</si>
  <si>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</si>
  <si>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</si>
  <si>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</si>
  <si>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</si>
  <si>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</si>
  <si>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</si>
  <si>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</si>
  <si>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</si>
  <si>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</si>
  <si>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</si>
  <si>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</si>
  <si>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</si>
  <si>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</si>
  <si>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</si>
  <si>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</si>
  <si>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</si>
  <si>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</si>
  <si>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</si>
  <si>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</si>
  <si>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</si>
  <si>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</si>
  <si>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</si>
  <si>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</si>
  <si>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</si>
  <si>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</si>
  <si>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</si>
  <si>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</si>
  <si>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</si>
  <si>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</si>
  <si>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</si>
  <si>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</si>
  <si>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</si>
  <si>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</si>
  <si>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</si>
  <si>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</si>
  <si>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</si>
  <si>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</si>
  <si>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</si>
  <si>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</si>
  <si>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</si>
  <si>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</si>
  <si>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</si>
  <si>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</si>
  <si>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</si>
  <si>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</si>
  <si>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</si>
  <si>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</si>
  <si>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</si>
  <si>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</si>
  <si>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</si>
  <si>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</si>
  <si>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</si>
  <si>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</si>
  <si>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</si>
  <si>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</si>
  <si>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</si>
  <si>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</si>
  <si>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</si>
  <si>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</si>
  <si>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</si>
  <si>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</si>
  <si>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</si>
  <si>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</si>
  <si>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</si>
  <si>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</si>
  <si>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</si>
  <si>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</si>
  <si>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</si>
  <si>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</si>
  <si>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</si>
  <si>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</si>
  <si>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</si>
  <si>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</si>
  <si>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</si>
  <si>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</si>
  <si>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</si>
  <si>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</si>
  <si>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</si>
  <si>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</si>
  <si>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</si>
  <si>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</si>
  <si>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</si>
  <si>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</si>
  <si>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</si>
  <si>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</si>
  <si>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</si>
  <si>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</si>
  <si>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</si>
  <si>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</si>
  <si>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</si>
  <si>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</si>
  <si>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</si>
  <si>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</si>
  <si>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</si>
  <si>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</si>
  <si>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</si>
  <si>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</si>
  <si>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</si>
  <si>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</si>
  <si>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</si>
  <si>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</si>
  <si>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</si>
  <si>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</si>
  <si>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</si>
  <si>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</si>
  <si>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</si>
  <si>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</si>
  <si>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</si>
  <si>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</si>
  <si>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</si>
  <si>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</si>
  <si>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</si>
  <si>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</si>
  <si>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</si>
  <si>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</si>
  <si>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</si>
  <si>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</si>
  <si>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</si>
  <si>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</si>
  <si>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</si>
  <si>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</si>
  <si>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</si>
  <si>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</si>
  <si>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</si>
  <si>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</si>
  <si>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</si>
  <si>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</si>
  <si>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</si>
  <si>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</si>
  <si>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</si>
  <si>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</si>
  <si>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</si>
  <si>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</si>
  <si>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</si>
  <si>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</si>
  <si>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</si>
  <si>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</si>
  <si>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</si>
  <si>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</si>
  <si>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</si>
  <si>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</si>
  <si>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</si>
  <si>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</si>
  <si>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</si>
  <si>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</si>
  <si>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</si>
  <si>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</si>
  <si>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</si>
  <si>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</si>
  <si>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</si>
  <si>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</si>
  <si>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</si>
  <si>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</si>
  <si>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</si>
  <si>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</si>
  <si>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</si>
  <si>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</si>
  <si>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</si>
  <si>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</si>
  <si>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</si>
  <si>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</si>
  <si>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</si>
  <si>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</si>
  <si>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</si>
  <si>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</si>
  <si>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</si>
  <si>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</si>
  <si>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</si>
  <si>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</si>
  <si>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</si>
  <si>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</si>
  <si>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</si>
  <si>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</si>
  <si>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</si>
  <si>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</si>
  <si>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</si>
  <si>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</si>
  <si>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</si>
  <si>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</si>
  <si>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</si>
  <si>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</si>
  <si>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</si>
  <si>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</si>
  <si>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</si>
  <si>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</si>
  <si>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</si>
  <si>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</si>
  <si>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</si>
  <si>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</si>
  <si>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</si>
  <si>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</si>
  <si>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</si>
  <si>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</si>
  <si>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</si>
  <si>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</si>
  <si>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</si>
  <si>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</si>
  <si>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</si>
  <si>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</si>
  <si>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</si>
  <si>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</si>
  <si>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</si>
  <si>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</si>
  <si>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</si>
  <si>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</si>
  <si>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</si>
  <si>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</si>
  <si>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</si>
  <si>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</si>
  <si>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</si>
  <si>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</si>
  <si>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</si>
  <si>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</si>
  <si>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</si>
  <si>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</si>
  <si>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</si>
  <si>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</si>
  <si>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</si>
  <si>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</si>
  <si>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</si>
  <si>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</si>
  <si>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</si>
  <si>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</si>
  <si>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</si>
  <si>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</si>
  <si>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</si>
  <si>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</si>
  <si>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</si>
  <si>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</si>
  <si>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</si>
  <si>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</si>
  <si>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</si>
  <si>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</si>
  <si>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</si>
  <si>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</si>
  <si>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</si>
  <si>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</si>
  <si>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</si>
  <si>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</si>
  <si>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</si>
  <si>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</si>
  <si>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</si>
  <si>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</si>
  <si>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</si>
  <si>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</si>
  <si>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</si>
  <si>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</si>
  <si>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</si>
  <si>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</si>
  <si>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</si>
  <si>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</si>
  <si>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</si>
  <si>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</si>
  <si>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</si>
  <si>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</si>
  <si>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</si>
  <si>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</si>
  <si>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</si>
  <si>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</si>
  <si>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</si>
  <si>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</si>
  <si>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</si>
  <si>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</si>
  <si>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</si>
  <si>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</si>
  <si>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</si>
  <si>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</si>
  <si>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</si>
  <si>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</si>
  <si>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</si>
  <si>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</si>
  <si>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</si>
  <si>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</si>
  <si>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</si>
  <si>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</si>
  <si>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</si>
  <si>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</si>
  <si>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</si>
  <si>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</si>
  <si>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</si>
  <si>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</si>
  <si>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</si>
  <si>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</si>
  <si>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</si>
  <si>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</si>
  <si>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</si>
  <si>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</si>
  <si>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</si>
  <si>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</si>
  <si>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</si>
  <si>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</si>
  <si>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</si>
  <si>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</si>
  <si>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</si>
  <si>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</si>
  <si>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</si>
  <si>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</si>
  <si>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</si>
  <si>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</si>
  <si>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</si>
  <si>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</si>
  <si>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</si>
  <si>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</si>
  <si>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</si>
  <si>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</si>
  <si>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</si>
  <si>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</si>
  <si>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</si>
  <si>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</si>
  <si>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</si>
  <si>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</si>
  <si>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</si>
  <si>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</si>
  <si>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</si>
  <si>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</si>
  <si>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</si>
  <si>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</si>
  <si>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</si>
  <si>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</si>
  <si>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</si>
  <si>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</si>
  <si>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</si>
  <si>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</si>
  <si>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</si>
  <si>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</si>
  <si>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</si>
  <si>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</si>
  <si>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</si>
  <si>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</si>
  <si>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</si>
  <si>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</si>
  <si>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</si>
  <si>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</si>
  <si>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</si>
  <si>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</si>
  <si>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</si>
  <si>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</si>
  <si>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</si>
  <si>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</si>
  <si>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</si>
  <si>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</si>
  <si>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</si>
  <si>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</si>
  <si>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</si>
  <si>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</si>
  <si>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</si>
  <si>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</si>
  <si>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</si>
  <si>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</si>
  <si>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</si>
  <si>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</si>
  <si>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</si>
  <si>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</si>
  <si>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</si>
  <si>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</si>
  <si>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</si>
  <si>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</si>
  <si>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</si>
  <si>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</si>
  <si>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</si>
  <si>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</si>
  <si>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</si>
  <si>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</si>
  <si>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</si>
  <si>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</si>
  <si>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</si>
  <si>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</si>
  <si>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</si>
  <si>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</si>
  <si>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</si>
  <si>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</si>
  <si>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</si>
  <si>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</si>
  <si>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</si>
  <si>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</si>
  <si>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</si>
  <si>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</si>
  <si>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</si>
  <si>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</si>
  <si>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</si>
  <si>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</si>
  <si>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</si>
  <si>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</si>
  <si>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</si>
  <si>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</si>
  <si>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</si>
  <si>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</si>
  <si>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</si>
  <si>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</si>
  <si>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</si>
  <si>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</si>
  <si>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</si>
  <si>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</si>
  <si>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</si>
  <si>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</si>
  <si>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</si>
  <si>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</si>
  <si>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</si>
  <si>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</si>
  <si>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</si>
  <si>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</si>
  <si>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</si>
  <si>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</si>
  <si>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</si>
  <si>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</si>
  <si>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</si>
  <si>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</si>
  <si>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</si>
  <si>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</si>
  <si>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</si>
  <si>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</si>
  <si>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</si>
  <si>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</si>
  <si>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</si>
  <si>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</si>
  <si>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</si>
  <si>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</si>
  <si>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</si>
  <si>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</si>
  <si>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</si>
  <si>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</si>
  <si>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</si>
  <si>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</si>
  <si>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</si>
  <si>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</si>
  <si>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</si>
  <si>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</si>
  <si>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</si>
  <si>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</si>
  <si>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</si>
  <si>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</si>
  <si>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</si>
  <si>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</si>
  <si>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</si>
  <si>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</si>
  <si>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</si>
  <si>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</si>
  <si>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</si>
  <si>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</si>
  <si>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</si>
  <si>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</si>
  <si>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</si>
  <si>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</si>
  <si>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</si>
  <si>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</si>
  <si>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</si>
  <si>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</si>
  <si>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</si>
  <si>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</si>
  <si>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</si>
  <si>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</si>
  <si>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</si>
  <si>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</si>
  <si>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</si>
  <si>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</si>
  <si>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</si>
  <si>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</si>
  <si>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</si>
  <si>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</si>
  <si>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</si>
  <si>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</si>
  <si>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</si>
  <si>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</si>
  <si>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</si>
  <si>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</si>
  <si>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</si>
  <si>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</si>
  <si>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</si>
  <si>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</si>
  <si>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</si>
  <si>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</si>
  <si>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</si>
  <si>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</si>
  <si>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</si>
  <si>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</si>
  <si>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</si>
  <si>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</si>
  <si>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</si>
  <si>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</si>
  <si>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</si>
  <si>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</si>
  <si>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</si>
  <si>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</si>
  <si>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</si>
  <si>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</si>
  <si>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</si>
  <si>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</si>
  <si>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</si>
  <si>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</si>
  <si>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</si>
  <si>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</si>
  <si>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</si>
  <si>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</si>
  <si>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</si>
  <si>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</si>
  <si>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</si>
  <si>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</si>
  <si>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</si>
  <si>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</si>
  <si>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</si>
  <si>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</si>
  <si>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</si>
  <si>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</si>
  <si>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</si>
  <si>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</si>
  <si>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</si>
  <si>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</si>
  <si>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</si>
  <si>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</si>
  <si>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</si>
  <si>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</si>
  <si>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</si>
  <si>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</si>
  <si>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</si>
  <si>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</si>
  <si>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</si>
  <si>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</si>
  <si>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</si>
  <si>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</si>
  <si>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</si>
  <si>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</si>
  <si>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</si>
  <si>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</si>
  <si>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</si>
  <si>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</si>
  <si>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</si>
  <si>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</si>
  <si>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</si>
  <si>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</si>
  <si>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</si>
  <si>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</si>
  <si>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</si>
  <si>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</si>
  <si>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</si>
  <si>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</si>
  <si>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</si>
  <si>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</si>
  <si>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</si>
  <si>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</si>
  <si>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</si>
  <si>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</si>
  <si>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</si>
  <si>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</si>
  <si>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</si>
  <si>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</si>
  <si>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</si>
  <si>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</si>
  <si>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</si>
  <si>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</si>
  <si>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</si>
  <si>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</si>
  <si>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</si>
  <si>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</si>
  <si>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</si>
  <si>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</si>
  <si>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</si>
  <si>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</si>
  <si>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</si>
  <si>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</si>
  <si>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</si>
  <si>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</si>
  <si>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</si>
  <si>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</si>
  <si>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</si>
  <si>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</si>
  <si>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</si>
  <si>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</si>
  <si>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</si>
  <si>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</si>
  <si>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</si>
  <si>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</si>
  <si>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</si>
  <si>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</si>
  <si>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</si>
  <si>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</si>
  <si>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</si>
  <si>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</si>
  <si>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</si>
  <si>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</si>
  <si>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</si>
  <si>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</si>
  <si>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</si>
  <si>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</si>
  <si>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</si>
  <si>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</si>
  <si>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</si>
  <si>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</si>
  <si>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</si>
  <si>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</si>
  <si>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</si>
  <si>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</si>
  <si>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</si>
  <si>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</si>
  <si>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</si>
  <si>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</si>
  <si>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</si>
  <si>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</si>
  <si>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</si>
  <si>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</si>
  <si>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</si>
  <si>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</si>
  <si>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</si>
  <si>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</si>
  <si>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</si>
  <si>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</si>
  <si>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</si>
  <si>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</si>
  <si>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</si>
  <si>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</si>
  <si>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</si>
  <si>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</si>
  <si>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</si>
  <si>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</si>
  <si>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</si>
  <si>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</si>
  <si>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</si>
  <si>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</si>
  <si>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</si>
  <si>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</si>
  <si>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</si>
  <si>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</si>
  <si>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</si>
  <si>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</si>
  <si>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</si>
  <si>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</si>
  <si>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</si>
  <si>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</si>
  <si>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</si>
  <si>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</si>
  <si>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</si>
  <si>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</si>
  <si>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</si>
  <si>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</si>
  <si>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</si>
  <si>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</si>
  <si>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</si>
  <si>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</si>
  <si>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</si>
  <si>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</si>
  <si>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</si>
  <si>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</si>
  <si>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</si>
  <si>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</si>
  <si>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</si>
  <si>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</si>
  <si>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</si>
  <si>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</si>
  <si>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</si>
  <si>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</si>
  <si>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</si>
  <si>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</si>
  <si>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</si>
  <si>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</si>
  <si>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</si>
  <si>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</si>
  <si>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</si>
  <si>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</si>
  <si>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</si>
  <si>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</si>
  <si>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</si>
  <si>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</si>
  <si>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</si>
  <si>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</si>
  <si>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</si>
  <si>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</si>
  <si>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</si>
  <si>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</si>
  <si>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</si>
  <si>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</si>
  <si>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</si>
  <si>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</si>
  <si>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</si>
  <si>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</si>
  <si>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</si>
  <si>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</si>
  <si>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</si>
  <si>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</si>
  <si>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</si>
  <si>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</si>
  <si>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</si>
  <si>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</si>
  <si>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</si>
  <si>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</si>
  <si>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</si>
  <si>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</si>
  <si>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</si>
  <si>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</si>
  <si>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</si>
  <si>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</si>
  <si>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</si>
  <si>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</si>
  <si>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</si>
  <si>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</si>
  <si>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</si>
  <si>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</si>
  <si>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</si>
  <si>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</si>
  <si>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</si>
  <si>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</si>
  <si>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</si>
  <si>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</si>
  <si>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</si>
  <si>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</si>
  <si>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</si>
  <si>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</si>
  <si>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</si>
  <si>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</si>
  <si>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</si>
  <si>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</si>
  <si>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</si>
  <si>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</si>
  <si>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</si>
  <si>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</si>
  <si>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</si>
  <si>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</si>
  <si>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</si>
  <si>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</si>
  <si>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</si>
  <si>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</si>
  <si>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</si>
  <si>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</si>
  <si>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</si>
  <si>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</si>
  <si>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</si>
  <si>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</si>
  <si>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</si>
  <si>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</si>
  <si>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</si>
  <si>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</si>
  <si>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</si>
  <si>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</si>
  <si>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</si>
  <si>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</si>
  <si>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</si>
  <si>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</si>
  <si>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</si>
  <si>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</si>
  <si>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</si>
  <si>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</si>
  <si>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</si>
  <si>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</si>
  <si>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</si>
  <si>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</si>
  <si>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</si>
  <si>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</si>
  <si>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</si>
  <si>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</si>
  <si>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</si>
  <si>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</si>
  <si>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</si>
  <si>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</si>
  <si>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</si>
  <si>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</si>
  <si>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</si>
  <si>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</si>
  <si>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</si>
  <si>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</si>
  <si>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</si>
  <si>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</si>
  <si>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</si>
  <si>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</si>
  <si>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</si>
  <si>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</si>
  <si>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</si>
  <si>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</si>
  <si>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</si>
  <si>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</si>
  <si>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</si>
  <si>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</si>
  <si>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</si>
  <si>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</si>
  <si>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</si>
  <si>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</si>
  <si>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</si>
  <si>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</si>
  <si>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</si>
  <si>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</si>
  <si>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</si>
  <si>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</si>
  <si>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</si>
  <si>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</si>
  <si>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</si>
  <si>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</si>
  <si>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</si>
  <si>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</si>
  <si>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</si>
  <si>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</si>
  <si>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</si>
  <si>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</si>
  <si>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</si>
  <si>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</si>
  <si>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</si>
  <si>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</si>
  <si>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</si>
  <si>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</si>
  <si>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</si>
  <si>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</si>
  <si>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</si>
  <si>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</si>
  <si>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</si>
  <si>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</si>
  <si>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</si>
  <si>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</si>
  <si>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</si>
  <si>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</si>
  <si>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</si>
  <si>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</si>
  <si>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</si>
  <si>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</si>
  <si>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</si>
  <si>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</si>
  <si>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</si>
  <si>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</si>
  <si>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</si>
  <si>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</si>
  <si>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</si>
  <si>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</si>
  <si>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</si>
  <si>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</si>
  <si>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</si>
  <si>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</si>
  <si>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</si>
  <si>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</si>
  <si>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</si>
  <si>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</si>
  <si>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</si>
  <si>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</si>
  <si>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</si>
  <si>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</si>
  <si>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</si>
  <si>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</si>
  <si>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</si>
  <si>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</si>
  <si>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</si>
  <si>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</si>
  <si>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</si>
  <si>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</si>
  <si>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</si>
  <si>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</si>
  <si>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</si>
  <si>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</si>
  <si>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</si>
  <si>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</si>
  <si>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</si>
  <si>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</si>
  <si>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</si>
  <si>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</si>
  <si>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</si>
  <si>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</si>
  <si>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</si>
  <si>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</si>
  <si>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</si>
  <si>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</si>
  <si>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</si>
  <si>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</si>
  <si>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</si>
  <si>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</si>
  <si>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</si>
  <si>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</si>
  <si>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</si>
  <si>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</si>
  <si>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</si>
  <si>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</si>
  <si>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</si>
  <si>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</si>
  <si>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</si>
  <si>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</si>
  <si>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</si>
  <si>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</si>
  <si>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</si>
  <si>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</si>
  <si>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</si>
  <si>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</si>
  <si>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</si>
  <si>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</si>
  <si>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</si>
  <si>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</si>
  <si>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</si>
  <si>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</si>
  <si>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</si>
  <si>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</si>
  <si>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</si>
  <si>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</si>
  <si>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</si>
  <si>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</si>
  <si>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</si>
  <si>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</si>
  <si>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</si>
  <si>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</si>
  <si>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</si>
  <si>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</si>
  <si>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</si>
  <si>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</si>
  <si>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</si>
  <si>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</si>
  <si>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</si>
  <si>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</si>
  <si>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</si>
  <si>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</si>
  <si>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</si>
  <si>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</si>
  <si>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</si>
  <si>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</si>
  <si>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</si>
  <si>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</si>
  <si>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</si>
  <si>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</si>
  <si>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</si>
  <si>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</si>
  <si>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</si>
  <si>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</si>
  <si>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</si>
  <si>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</si>
  <si>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</si>
  <si>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</si>
  <si>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</si>
  <si>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</si>
  <si>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</si>
  <si>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</si>
  <si>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</si>
  <si>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</si>
  <si>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</si>
  <si>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</si>
  <si>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</si>
  <si>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</si>
  <si>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</si>
  <si>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</si>
  <si>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</si>
  <si>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</si>
  <si>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</si>
  <si>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</si>
  <si>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</si>
  <si>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</si>
  <si>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</si>
  <si>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</si>
  <si>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</si>
  <si>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</si>
  <si>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</si>
  <si>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</si>
  <si>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</si>
  <si>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</si>
  <si>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</si>
  <si>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</si>
  <si>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</si>
  <si>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</si>
  <si>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</si>
  <si>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</si>
  <si>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</si>
  <si>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</si>
  <si>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</si>
  <si>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</si>
  <si>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</si>
  <si>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</si>
  <si>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</si>
  <si>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</si>
  <si>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</si>
  <si>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</si>
  <si>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</si>
  <si>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</si>
  <si>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</si>
  <si>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</si>
  <si>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</si>
  <si>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</si>
  <si>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</si>
  <si>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</si>
  <si>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</si>
  <si>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</si>
  <si>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</si>
  <si>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</si>
  <si>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</si>
  <si>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</si>
  <si>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</si>
  <si>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</si>
  <si>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</si>
  <si>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</si>
  <si>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</si>
  <si>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</si>
  <si>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</si>
  <si>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</si>
  <si>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</si>
  <si>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</si>
  <si>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</si>
  <si>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</si>
  <si>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</si>
  <si>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</si>
  <si>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</si>
  <si>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</si>
  <si>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</si>
  <si>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</si>
  <si>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</si>
  <si>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</si>
  <si>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</si>
  <si>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</si>
  <si>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</si>
  <si>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</si>
  <si>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</si>
  <si>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</si>
  <si>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</si>
  <si>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</si>
  <si>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</si>
  <si>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</si>
  <si>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</si>
  <si>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</si>
  <si>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</si>
  <si>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</si>
  <si>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</si>
  <si>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</si>
  <si>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</si>
  <si>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</si>
  <si>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</si>
  <si>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</si>
  <si>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</si>
  <si>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</si>
  <si>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</si>
  <si>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</si>
  <si>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</si>
  <si>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</si>
  <si>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</si>
  <si>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</si>
  <si>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</si>
  <si>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</si>
  <si>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</si>
  <si>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</si>
  <si>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</si>
  <si>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</si>
  <si>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</si>
  <si>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</si>
  <si>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</si>
  <si>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</si>
  <si>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</si>
  <si>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</si>
  <si>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</si>
  <si>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</si>
  <si>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</si>
  <si>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</si>
  <si>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</si>
  <si>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</si>
  <si>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</si>
  <si>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</si>
  <si>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</si>
  <si>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</si>
  <si>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</si>
  <si>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</si>
  <si>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</si>
  <si>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</si>
  <si>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</si>
  <si>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</si>
  <si>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</si>
  <si>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</si>
  <si>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</si>
  <si>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</si>
  <si>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</si>
  <si>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</si>
  <si>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</si>
  <si>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</si>
  <si>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</si>
  <si>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</si>
  <si>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</si>
  <si>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</si>
  <si>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</si>
  <si>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</si>
  <si>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</si>
  <si>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</si>
  <si>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</si>
  <si>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</si>
  <si>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</si>
  <si>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</si>
  <si>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</si>
  <si>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</si>
  <si>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</si>
  <si>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</si>
  <si>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</si>
  <si>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</si>
  <si>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</si>
  <si>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</si>
  <si>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</si>
  <si>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</si>
  <si>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</si>
  <si>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</si>
  <si>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</si>
  <si>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</si>
  <si>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</si>
  <si>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</si>
  <si>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</si>
  <si>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</si>
  <si>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</si>
  <si>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</si>
  <si>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</si>
  <si>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</si>
  <si>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</si>
  <si>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</si>
  <si>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</si>
  <si>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</si>
  <si>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</si>
  <si>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</si>
  <si>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</si>
  <si>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</si>
  <si>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</si>
  <si>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</si>
  <si>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</si>
  <si>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</si>
  <si>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</si>
  <si>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</si>
  <si>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</si>
  <si>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</si>
  <si>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</si>
  <si>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</si>
  <si>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</si>
  <si>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</si>
  <si>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</si>
  <si>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</si>
  <si>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</si>
  <si>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</si>
  <si>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</si>
  <si>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</si>
  <si>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</si>
  <si>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</si>
  <si>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</si>
  <si>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</si>
  <si>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</si>
  <si>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</si>
  <si>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</si>
  <si>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</si>
  <si>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</si>
  <si>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</si>
  <si>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</si>
  <si>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</si>
  <si>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</si>
  <si>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</si>
  <si>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</si>
  <si>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</si>
  <si>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</si>
  <si>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</si>
  <si>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</si>
  <si>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</si>
  <si>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</si>
  <si>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</si>
  <si>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</si>
  <si>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</si>
  <si>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</si>
  <si>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</si>
  <si>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</si>
  <si>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</si>
  <si>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</si>
  <si>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</si>
  <si>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</si>
  <si>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</si>
  <si>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</si>
  <si>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</si>
  <si>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</si>
  <si>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</si>
  <si>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</si>
  <si>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</si>
  <si>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</si>
  <si>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</si>
  <si>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</si>
  <si>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</si>
  <si>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</si>
  <si>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</si>
  <si>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</si>
  <si>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</si>
  <si>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</si>
  <si>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</si>
  <si>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</si>
  <si>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</si>
  <si>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</si>
  <si>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</si>
  <si>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>علي الحساب الجاري رقم / 405033714006  ببنك الأسكندرية فرع اسيوط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</si>
  <si>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</si>
  <si>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</si>
  <si>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</si>
  <si>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شيكات للعملاء ملغاة  بلجنة البت في القروض المنعقدة في تاريخ</t>
  </si>
  <si>
    <t xml:space="preserve">حافظة شيكات محررة للعملاء طبقاً لموافقة لجنه الائتمان والتمويل المتناهى الصغر المنعقدة في تاريخ </t>
  </si>
  <si>
    <t>علي الحساب الجاري رقم /  405033714006   ببنك الأسكندرية فرع اسيوط</t>
  </si>
  <si>
    <t>تمويل البنك الاهلى المصرى</t>
  </si>
  <si>
    <t>00/00/0000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</si>
</sst>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1" fontId="0" fillId="2" borderId="1" xfId="0" applyNumberFormat="1" applyFill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1"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21"/>
  <sheetViews>
    <sheetView rightToLeft="1" tabSelected="1" view="pageBreakPreview" zoomScale="85" zoomScaleNormal="180" zoomScaleSheetLayoutView="85" workbookViewId="0">
      <pane ySplit="7" topLeftCell="A8" activePane="bottomLeft" state="frozen"/>
      <selection pane="bottomLeft" activeCell="A48" sqref="A48:XFD8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31" t="s">
        <v>10004</v>
      </c>
      <c r="B1" s="31"/>
      <c r="C1" s="31"/>
      <c r="F1" s="33" t="s">
        <v>10607</v>
      </c>
      <c r="G1" s="31"/>
    </row>
    <row r="2" spans="1:7" x14ac:dyDescent="0.25">
      <c r="A2" s="31" t="s">
        <v>10603</v>
      </c>
      <c r="B2" s="31"/>
      <c r="C2" s="31"/>
    </row>
    <row r="3" spans="1:7" x14ac:dyDescent="0.25">
      <c r="A3" s="33" t="s">
        <v>10599</v>
      </c>
      <c r="B3" s="31"/>
      <c r="C3" s="31"/>
    </row>
    <row r="4" spans="1:7" x14ac:dyDescent="0.25">
      <c r="A4" s="5"/>
    </row>
    <row r="5" spans="1:7" ht="33.75" customHeight="1" x14ac:dyDescent="0.25">
      <c r="A5" s="36" t="s">
        <v>10605</v>
      </c>
      <c r="B5" s="36"/>
      <c r="C5" s="36"/>
      <c r="D5" s="36"/>
      <c r="E5" s="36"/>
      <c r="F5" s="19" t="s">
        <v>10608</v>
      </c>
      <c r="G5" s="18"/>
    </row>
    <row r="6" spans="1:7" ht="19.5" customHeight="1" x14ac:dyDescent="0.25">
      <c r="A6" s="32" t="s">
        <v>10600</v>
      </c>
      <c r="B6" s="32"/>
      <c r="C6" s="32"/>
      <c r="D6" s="32"/>
      <c r="E6" s="32"/>
      <c r="F6" s="32"/>
      <c r="G6" s="32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7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7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7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7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7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7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7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7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7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7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7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7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7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7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7" s="20" customFormat="1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7" s="20" customFormat="1" ht="18" hidden="1" customHeight="1" x14ac:dyDescent="0.25">
      <c r="A48" s="38">
        <v>1</v>
      </c>
      <c r="B48" s="38"/>
      <c r="C48" s="39"/>
      <c r="D48" s="40"/>
      <c r="E48" s="38"/>
      <c r="F48" s="40"/>
      <c r="G48" s="38"/>
    </row>
    <row r="49" spans="1:7" s="20" customFormat="1" ht="18" hidden="1" customHeight="1" x14ac:dyDescent="0.25">
      <c r="A49" s="38">
        <v>2</v>
      </c>
      <c r="B49" s="38"/>
      <c r="C49" s="39"/>
      <c r="D49" s="40"/>
      <c r="E49" s="38"/>
      <c r="F49" s="40"/>
      <c r="G49" s="38"/>
    </row>
    <row r="50" spans="1:7" s="20" customFormat="1" ht="18" hidden="1" customHeight="1" x14ac:dyDescent="0.25">
      <c r="A50" s="38">
        <v>3</v>
      </c>
      <c r="B50" s="38"/>
      <c r="C50" s="39"/>
      <c r="D50" s="40"/>
      <c r="E50" s="38"/>
      <c r="F50" s="40"/>
      <c r="G50" s="38"/>
    </row>
    <row r="51" spans="1:7" s="20" customFormat="1" ht="18" hidden="1" customHeight="1" x14ac:dyDescent="0.25">
      <c r="A51" s="38">
        <v>4</v>
      </c>
      <c r="B51" s="38"/>
      <c r="C51" s="39"/>
      <c r="D51" s="40"/>
      <c r="E51" s="38"/>
      <c r="F51" s="40"/>
      <c r="G51" s="38"/>
    </row>
    <row r="52" spans="1:7" s="20" customFormat="1" ht="18" hidden="1" customHeight="1" x14ac:dyDescent="0.25">
      <c r="A52" s="38">
        <v>5</v>
      </c>
      <c r="B52" s="38"/>
      <c r="C52" s="39"/>
      <c r="D52" s="40"/>
      <c r="E52" s="38"/>
      <c r="F52" s="40"/>
      <c r="G52" s="38"/>
    </row>
    <row r="53" spans="1:7" s="20" customFormat="1" ht="18" hidden="1" customHeight="1" x14ac:dyDescent="0.25">
      <c r="A53" s="38">
        <v>6</v>
      </c>
      <c r="B53" s="38"/>
      <c r="C53" s="39"/>
      <c r="D53" s="40"/>
      <c r="E53" s="38"/>
      <c r="F53" s="40"/>
      <c r="G53" s="38"/>
    </row>
    <row r="54" spans="1:7" s="20" customFormat="1" ht="18" hidden="1" customHeight="1" x14ac:dyDescent="0.25">
      <c r="A54" s="38">
        <v>7</v>
      </c>
      <c r="B54" s="38"/>
      <c r="C54" s="39"/>
      <c r="D54" s="40"/>
      <c r="E54" s="38"/>
      <c r="F54" s="40"/>
      <c r="G54" s="38"/>
    </row>
    <row r="55" spans="1:7" s="20" customFormat="1" ht="18" hidden="1" customHeight="1" x14ac:dyDescent="0.25">
      <c r="A55" s="38">
        <v>8</v>
      </c>
      <c r="B55" s="38"/>
      <c r="C55" s="39"/>
      <c r="D55" s="40"/>
      <c r="E55" s="38"/>
      <c r="F55" s="40"/>
      <c r="G55" s="38"/>
    </row>
    <row r="56" spans="1:7" s="20" customFormat="1" ht="18" hidden="1" customHeight="1" x14ac:dyDescent="0.25">
      <c r="A56" s="38">
        <v>9</v>
      </c>
      <c r="B56" s="38"/>
      <c r="C56" s="39"/>
      <c r="D56" s="40"/>
      <c r="E56" s="38"/>
      <c r="F56" s="40"/>
      <c r="G56" s="38"/>
    </row>
    <row r="57" spans="1:7" s="20" customFormat="1" ht="18" hidden="1" customHeight="1" x14ac:dyDescent="0.25">
      <c r="A57" s="38">
        <v>10</v>
      </c>
      <c r="B57" s="38"/>
      <c r="C57" s="39"/>
      <c r="D57" s="40"/>
      <c r="E57" s="38"/>
      <c r="F57" s="40"/>
      <c r="G57" s="38"/>
    </row>
    <row r="58" spans="1:7" s="20" customFormat="1" ht="18" hidden="1" customHeight="1" x14ac:dyDescent="0.25">
      <c r="A58" s="38">
        <v>11</v>
      </c>
      <c r="B58" s="38"/>
      <c r="C58" s="39"/>
      <c r="D58" s="40"/>
      <c r="E58" s="38"/>
      <c r="F58" s="40"/>
      <c r="G58" s="38"/>
    </row>
    <row r="59" spans="1:7" s="20" customFormat="1" ht="18" hidden="1" customHeight="1" x14ac:dyDescent="0.25">
      <c r="A59" s="38">
        <v>12</v>
      </c>
      <c r="B59" s="38"/>
      <c r="C59" s="39"/>
      <c r="D59" s="40"/>
      <c r="E59" s="38"/>
      <c r="F59" s="40"/>
      <c r="G59" s="38"/>
    </row>
    <row r="60" spans="1:7" s="20" customFormat="1" ht="18" hidden="1" customHeight="1" x14ac:dyDescent="0.25">
      <c r="A60" s="38">
        <v>13</v>
      </c>
      <c r="B60" s="38"/>
      <c r="C60" s="39"/>
      <c r="D60" s="40"/>
      <c r="E60" s="38"/>
      <c r="F60" s="40"/>
      <c r="G60" s="38"/>
    </row>
    <row r="61" spans="1:7" s="20" customFormat="1" ht="18" hidden="1" customHeight="1" x14ac:dyDescent="0.25">
      <c r="A61" s="38">
        <v>14</v>
      </c>
      <c r="B61" s="38"/>
      <c r="C61" s="39"/>
      <c r="D61" s="40"/>
      <c r="E61" s="38"/>
      <c r="F61" s="40"/>
      <c r="G61" s="38"/>
    </row>
    <row r="62" spans="1:7" s="20" customFormat="1" ht="18" hidden="1" customHeight="1" x14ac:dyDescent="0.25">
      <c r="A62" s="38">
        <v>15</v>
      </c>
      <c r="B62" s="38"/>
      <c r="C62" s="39"/>
      <c r="D62" s="40"/>
      <c r="E62" s="38"/>
      <c r="F62" s="40"/>
      <c r="G62" s="38"/>
    </row>
    <row r="63" spans="1:7" s="20" customFormat="1" ht="18" hidden="1" customHeight="1" x14ac:dyDescent="0.25">
      <c r="A63" s="38">
        <v>16</v>
      </c>
      <c r="B63" s="38"/>
      <c r="C63" s="39"/>
      <c r="D63" s="40"/>
      <c r="E63" s="38"/>
      <c r="F63" s="40"/>
      <c r="G63" s="38"/>
    </row>
    <row r="64" spans="1:7" s="20" customFormat="1" ht="18" hidden="1" customHeight="1" x14ac:dyDescent="0.25">
      <c r="A64" s="38">
        <v>17</v>
      </c>
      <c r="B64" s="38"/>
      <c r="C64" s="39"/>
      <c r="D64" s="40"/>
      <c r="E64" s="38"/>
      <c r="F64" s="40"/>
      <c r="G64" s="38"/>
    </row>
    <row r="65" spans="1:7" s="20" customFormat="1" ht="18" hidden="1" customHeight="1" x14ac:dyDescent="0.25">
      <c r="A65" s="38">
        <v>18</v>
      </c>
      <c r="B65" s="38"/>
      <c r="C65" s="39"/>
      <c r="D65" s="40"/>
      <c r="E65" s="38"/>
      <c r="F65" s="40"/>
      <c r="G65" s="38"/>
    </row>
    <row r="66" spans="1:7" s="20" customFormat="1" ht="18" hidden="1" customHeight="1" x14ac:dyDescent="0.25">
      <c r="A66" s="38">
        <v>19</v>
      </c>
      <c r="B66" s="38"/>
      <c r="C66" s="39"/>
      <c r="D66" s="40"/>
      <c r="E66" s="38"/>
      <c r="F66" s="40"/>
      <c r="G66" s="38"/>
    </row>
    <row r="67" spans="1:7" s="20" customFormat="1" ht="18" hidden="1" customHeight="1" x14ac:dyDescent="0.25">
      <c r="A67" s="38">
        <v>20</v>
      </c>
      <c r="B67" s="38"/>
      <c r="C67" s="39"/>
      <c r="D67" s="40"/>
      <c r="E67" s="38"/>
      <c r="F67" s="40"/>
      <c r="G67" s="38"/>
    </row>
    <row r="68" spans="1:7" s="20" customFormat="1" ht="18" hidden="1" customHeight="1" x14ac:dyDescent="0.25">
      <c r="A68" s="38">
        <v>21</v>
      </c>
      <c r="B68" s="38"/>
      <c r="C68" s="39"/>
      <c r="D68" s="40"/>
      <c r="E68" s="38"/>
      <c r="F68" s="40"/>
      <c r="G68" s="38"/>
    </row>
    <row r="69" spans="1:7" s="20" customFormat="1" ht="18" hidden="1" customHeight="1" x14ac:dyDescent="0.25">
      <c r="A69" s="38">
        <v>22</v>
      </c>
      <c r="B69" s="38"/>
      <c r="C69" s="39"/>
      <c r="D69" s="40"/>
      <c r="E69" s="38"/>
      <c r="F69" s="40"/>
      <c r="G69" s="38"/>
    </row>
    <row r="70" spans="1:7" s="20" customFormat="1" ht="18" hidden="1" customHeight="1" x14ac:dyDescent="0.25">
      <c r="A70" s="38">
        <v>23</v>
      </c>
      <c r="B70" s="38"/>
      <c r="C70" s="39"/>
      <c r="D70" s="40"/>
      <c r="E70" s="38"/>
      <c r="F70" s="40"/>
      <c r="G70" s="38"/>
    </row>
    <row r="71" spans="1:7" s="20" customFormat="1" ht="18" hidden="1" customHeight="1" x14ac:dyDescent="0.25">
      <c r="A71" s="38">
        <v>24</v>
      </c>
      <c r="B71" s="38"/>
      <c r="C71" s="39"/>
      <c r="D71" s="40"/>
      <c r="E71" s="38"/>
      <c r="F71" s="40"/>
      <c r="G71" s="38"/>
    </row>
    <row r="72" spans="1:7" s="20" customFormat="1" ht="18" hidden="1" customHeight="1" x14ac:dyDescent="0.25">
      <c r="A72" s="38">
        <v>25</v>
      </c>
      <c r="B72" s="38"/>
      <c r="C72" s="39"/>
      <c r="D72" s="40"/>
      <c r="E72" s="38"/>
      <c r="F72" s="40"/>
      <c r="G72" s="38"/>
    </row>
    <row r="73" spans="1:7" s="20" customFormat="1" ht="18" hidden="1" customHeight="1" x14ac:dyDescent="0.25">
      <c r="A73" s="38">
        <v>26</v>
      </c>
      <c r="B73" s="38"/>
      <c r="C73" s="39"/>
      <c r="D73" s="40"/>
      <c r="E73" s="38"/>
      <c r="F73" s="40"/>
      <c r="G73" s="38"/>
    </row>
    <row r="74" spans="1:7" s="20" customFormat="1" ht="18" hidden="1" customHeight="1" x14ac:dyDescent="0.25">
      <c r="A74" s="38">
        <v>27</v>
      </c>
      <c r="B74" s="38"/>
      <c r="C74" s="39"/>
      <c r="D74" s="40"/>
      <c r="E74" s="38"/>
      <c r="F74" s="40"/>
      <c r="G74" s="38"/>
    </row>
    <row r="75" spans="1:7" s="20" customFormat="1" ht="18" hidden="1" customHeight="1" x14ac:dyDescent="0.25">
      <c r="A75" s="38">
        <v>28</v>
      </c>
      <c r="B75" s="38"/>
      <c r="C75" s="39"/>
      <c r="D75" s="40"/>
      <c r="E75" s="38"/>
      <c r="F75" s="40"/>
      <c r="G75" s="38"/>
    </row>
    <row r="76" spans="1:7" s="20" customFormat="1" ht="18" hidden="1" customHeight="1" x14ac:dyDescent="0.25">
      <c r="A76" s="38">
        <v>29</v>
      </c>
      <c r="B76" s="38"/>
      <c r="C76" s="39"/>
      <c r="D76" s="40"/>
      <c r="E76" s="38"/>
      <c r="F76" s="40"/>
      <c r="G76" s="38"/>
    </row>
    <row r="77" spans="1:7" s="20" customFormat="1" ht="18" hidden="1" customHeight="1" x14ac:dyDescent="0.25">
      <c r="A77" s="38">
        <v>30</v>
      </c>
      <c r="B77" s="38"/>
      <c r="C77" s="39"/>
      <c r="D77" s="40"/>
      <c r="E77" s="38"/>
      <c r="F77" s="40"/>
      <c r="G77" s="38"/>
    </row>
    <row r="78" spans="1:7" s="20" customFormat="1" ht="18" hidden="1" customHeight="1" x14ac:dyDescent="0.25">
      <c r="A78" s="38">
        <v>31</v>
      </c>
      <c r="B78" s="38"/>
      <c r="C78" s="39"/>
      <c r="D78" s="40"/>
      <c r="E78" s="38"/>
      <c r="F78" s="40"/>
      <c r="G78" s="38"/>
    </row>
    <row r="79" spans="1:7" s="20" customFormat="1" ht="18" hidden="1" customHeight="1" x14ac:dyDescent="0.25">
      <c r="A79" s="38">
        <v>32</v>
      </c>
      <c r="B79" s="38"/>
      <c r="C79" s="39"/>
      <c r="D79" s="40"/>
      <c r="E79" s="38"/>
      <c r="F79" s="40"/>
      <c r="G79" s="38"/>
    </row>
    <row r="80" spans="1:7" s="20" customFormat="1" ht="18" hidden="1" customHeight="1" x14ac:dyDescent="0.25">
      <c r="A80" s="38">
        <v>33</v>
      </c>
      <c r="B80" s="38"/>
      <c r="C80" s="39"/>
      <c r="D80" s="40"/>
      <c r="E80" s="38"/>
      <c r="F80" s="40"/>
      <c r="G80" s="38"/>
    </row>
    <row r="81" spans="1:8" ht="18" hidden="1" customHeight="1" x14ac:dyDescent="0.25">
      <c r="A81" s="38">
        <v>34</v>
      </c>
      <c r="B81" s="38"/>
      <c r="C81" s="39"/>
      <c r="D81" s="40"/>
      <c r="E81" s="38"/>
      <c r="F81" s="40"/>
      <c r="G81" s="38"/>
    </row>
    <row r="82" spans="1:8" ht="33" customHeight="1" x14ac:dyDescent="0.25">
      <c r="A82" s="12"/>
      <c r="B82" s="34" t="str">
        <f>"اجمالى عدد "&amp;COUNTIF(C8:C81,"*")&amp;" شيك بمبلغ"</f>
        <v>اجمالى عدد 0 شيك بمبلغ</v>
      </c>
      <c r="C82" s="34"/>
      <c r="D82" s="35"/>
      <c r="E82" s="13">
        <f>SUM(E8:E81)</f>
        <v>0</v>
      </c>
      <c r="F82" s="25" t="str">
        <f>NoToTxt(E82,"جنيه","قرش")&amp;" لاغير  "</f>
        <v xml:space="preserve">صفر لاغير  </v>
      </c>
      <c r="G82" s="26"/>
      <c r="H82" s="17">
        <f>COUNTIF(C8:C81,"*")</f>
        <v>0</v>
      </c>
    </row>
    <row r="83" spans="1:8" ht="18" customHeight="1" x14ac:dyDescent="0.25">
      <c r="A83" s="21" t="s">
        <v>10601</v>
      </c>
      <c r="B83" s="21"/>
      <c r="C83" s="21"/>
      <c r="D83" s="21"/>
      <c r="E83" s="21"/>
      <c r="F83" s="21"/>
      <c r="G83" s="21"/>
    </row>
    <row r="84" spans="1:8" ht="32.25" customHeight="1" x14ac:dyDescent="0.25">
      <c r="A84" s="27" t="s">
        <v>10014</v>
      </c>
      <c r="B84" s="28"/>
      <c r="C84" s="28"/>
      <c r="D84" s="28"/>
      <c r="E84" s="28"/>
      <c r="F84" s="28"/>
      <c r="G84" s="28"/>
    </row>
    <row r="85" spans="1:8" ht="18" customHeight="1" x14ac:dyDescent="0.25">
      <c r="A85" s="28"/>
      <c r="B85" s="28"/>
      <c r="C85" s="28"/>
      <c r="D85" s="28"/>
      <c r="E85" s="28"/>
      <c r="F85" s="28"/>
      <c r="G85" s="28"/>
    </row>
    <row r="86" spans="1:8" ht="33.75" customHeight="1" x14ac:dyDescent="0.25">
      <c r="A86" s="29" t="str">
        <f>" تابع "&amp;A5</f>
        <v xml:space="preserve"> تابع حافظة شيكات محررة للعملاء طبقاً لموافقة لجنه الائتمان والتمويل المتناهى الصغر المنعقدة في تاريخ </v>
      </c>
      <c r="B86" s="29"/>
      <c r="C86" s="29"/>
      <c r="D86" s="29"/>
      <c r="E86" s="29"/>
      <c r="F86" s="29"/>
      <c r="G86" s="29"/>
    </row>
    <row r="87" spans="1:8" ht="19.5" customHeight="1" x14ac:dyDescent="0.25">
      <c r="A87" s="30" t="str">
        <f>A6</f>
        <v>علي الحساب الجاري رقم / 405033714006  ببنك الأسكندرية فرع اسيوط</v>
      </c>
      <c r="B87" s="30"/>
      <c r="C87" s="30"/>
      <c r="D87" s="30"/>
      <c r="E87" s="30"/>
      <c r="F87" s="30"/>
      <c r="G87" s="30"/>
    </row>
    <row r="88" spans="1:8" ht="30" customHeight="1" x14ac:dyDescent="0.25">
      <c r="A88" s="6" t="s">
        <v>10005</v>
      </c>
      <c r="B88" s="6" t="s">
        <v>10006</v>
      </c>
      <c r="C88" s="9" t="s">
        <v>10007</v>
      </c>
      <c r="D88" s="6" t="s">
        <v>10008</v>
      </c>
      <c r="E88" s="6" t="s">
        <v>10009</v>
      </c>
      <c r="F88" s="6" t="s">
        <v>10010</v>
      </c>
      <c r="G88" s="6" t="s">
        <v>10011</v>
      </c>
    </row>
    <row r="89" spans="1:8" ht="30" customHeight="1" x14ac:dyDescent="0.25">
      <c r="A89" s="22" t="s">
        <v>10012</v>
      </c>
      <c r="B89" s="23"/>
      <c r="C89" s="23"/>
      <c r="D89" s="24"/>
      <c r="E89" s="14">
        <f>E82</f>
        <v>0</v>
      </c>
      <c r="F89" s="25" t="str">
        <f>NoToTxt(E89,"جنيه","قرش")&amp;" لاغير  "</f>
        <v xml:space="preserve">صفر لاغير  </v>
      </c>
      <c r="G89" s="26"/>
    </row>
    <row r="90" spans="1:8" ht="18" customHeight="1" x14ac:dyDescent="0.25">
      <c r="A90" s="3">
        <v>41</v>
      </c>
      <c r="B90" s="3"/>
      <c r="C90" s="10"/>
      <c r="D90" s="11"/>
      <c r="E90" s="3"/>
      <c r="F90" s="11"/>
      <c r="G90" s="3"/>
    </row>
    <row r="91" spans="1:8" ht="18" customHeight="1" x14ac:dyDescent="0.25">
      <c r="A91" s="3">
        <v>42</v>
      </c>
      <c r="B91" s="3"/>
      <c r="C91" s="10"/>
      <c r="D91" s="11"/>
      <c r="E91" s="3"/>
      <c r="F91" s="11"/>
      <c r="G91" s="3"/>
    </row>
    <row r="92" spans="1:8" ht="18" customHeight="1" x14ac:dyDescent="0.25">
      <c r="A92" s="3">
        <v>43</v>
      </c>
      <c r="B92" s="3"/>
      <c r="C92" s="10"/>
      <c r="D92" s="11"/>
      <c r="E92" s="3"/>
      <c r="F92" s="11"/>
      <c r="G92" s="3"/>
    </row>
    <row r="93" spans="1:8" ht="18" customHeight="1" x14ac:dyDescent="0.25">
      <c r="A93" s="3">
        <v>44</v>
      </c>
      <c r="B93" s="3"/>
      <c r="C93" s="10"/>
      <c r="D93" s="11"/>
      <c r="E93" s="3"/>
      <c r="F93" s="11"/>
      <c r="G93" s="3"/>
    </row>
    <row r="94" spans="1:8" ht="18" customHeight="1" x14ac:dyDescent="0.25">
      <c r="A94" s="3">
        <v>45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46</v>
      </c>
      <c r="B95" s="3"/>
      <c r="C95" s="10"/>
      <c r="D95" s="11"/>
      <c r="E95" s="3"/>
      <c r="F95" s="11"/>
      <c r="G95" s="3"/>
    </row>
    <row r="96" spans="1:8" ht="18" customHeight="1" x14ac:dyDescent="0.25">
      <c r="A96" s="3">
        <v>47</v>
      </c>
      <c r="B96" s="3"/>
      <c r="C96" s="10"/>
      <c r="D96" s="11"/>
      <c r="E96" s="3"/>
      <c r="F96" s="11"/>
      <c r="G96" s="3"/>
    </row>
    <row r="97" spans="1:7" ht="18" customHeight="1" x14ac:dyDescent="0.25">
      <c r="A97" s="3">
        <v>48</v>
      </c>
      <c r="B97" s="3"/>
      <c r="C97" s="10"/>
      <c r="D97" s="11"/>
      <c r="E97" s="3"/>
      <c r="F97" s="11"/>
      <c r="G97" s="3"/>
    </row>
    <row r="98" spans="1:7" ht="18" customHeight="1" x14ac:dyDescent="0.25">
      <c r="A98" s="3">
        <v>49</v>
      </c>
      <c r="B98" s="3"/>
      <c r="C98" s="10"/>
      <c r="D98" s="11"/>
      <c r="E98" s="3"/>
      <c r="F98" s="11"/>
      <c r="G98" s="3"/>
    </row>
    <row r="99" spans="1:7" ht="18" customHeight="1" x14ac:dyDescent="0.25">
      <c r="A99" s="3">
        <v>50</v>
      </c>
      <c r="B99" s="3"/>
      <c r="C99" s="10"/>
      <c r="D99" s="11"/>
      <c r="E99" s="3"/>
      <c r="F99" s="11"/>
      <c r="G99" s="3"/>
    </row>
    <row r="100" spans="1:7" ht="18" customHeight="1" x14ac:dyDescent="0.25">
      <c r="A100" s="3">
        <v>51</v>
      </c>
      <c r="B100" s="3"/>
      <c r="C100" s="10"/>
      <c r="D100" s="11"/>
      <c r="E100" s="3"/>
      <c r="F100" s="11"/>
      <c r="G100" s="3"/>
    </row>
    <row r="101" spans="1:7" ht="18" customHeight="1" x14ac:dyDescent="0.25">
      <c r="A101" s="3">
        <v>52</v>
      </c>
      <c r="B101" s="3"/>
      <c r="C101" s="10"/>
      <c r="D101" s="11"/>
      <c r="E101" s="3"/>
      <c r="F101" s="11"/>
      <c r="G101" s="3"/>
    </row>
    <row r="102" spans="1:7" ht="18" customHeight="1" x14ac:dyDescent="0.25">
      <c r="A102" s="3">
        <v>53</v>
      </c>
      <c r="B102" s="3"/>
      <c r="C102" s="10"/>
      <c r="D102" s="11"/>
      <c r="E102" s="3"/>
      <c r="F102" s="11"/>
      <c r="G102" s="3"/>
    </row>
    <row r="103" spans="1:7" ht="18" customHeight="1" x14ac:dyDescent="0.25">
      <c r="A103" s="3">
        <v>54</v>
      </c>
      <c r="B103" s="3"/>
      <c r="C103" s="10"/>
      <c r="D103" s="11"/>
      <c r="E103" s="3"/>
      <c r="F103" s="11"/>
      <c r="G103" s="3"/>
    </row>
    <row r="104" spans="1:7" ht="18" customHeight="1" x14ac:dyDescent="0.25">
      <c r="A104" s="3">
        <v>55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56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57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58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59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60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61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62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63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64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65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66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67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68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69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70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71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72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73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74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75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76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77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78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79</v>
      </c>
      <c r="B128" s="3"/>
      <c r="C128" s="10"/>
      <c r="D128" s="11"/>
      <c r="E128" s="3"/>
      <c r="F128" s="11"/>
      <c r="G128" s="3"/>
    </row>
    <row r="129" spans="1:8" ht="18" customHeight="1" x14ac:dyDescent="0.25">
      <c r="A129" s="3">
        <v>80</v>
      </c>
      <c r="B129" s="3"/>
      <c r="C129" s="10"/>
      <c r="D129" s="11"/>
      <c r="E129" s="3"/>
      <c r="F129" s="11"/>
      <c r="G129" s="3"/>
    </row>
    <row r="130" spans="1:8" ht="33" customHeight="1" x14ac:dyDescent="0.25">
      <c r="A130" s="37" t="str">
        <f>"اجمالى عدد "&amp;SUM(H82+H130)&amp;" شيك بمبلغ"</f>
        <v>اجمالى عدد 0 شيك بمبلغ</v>
      </c>
      <c r="B130" s="34"/>
      <c r="C130" s="34"/>
      <c r="D130" s="35"/>
      <c r="E130" s="13">
        <f>SUM(E89:E129)</f>
        <v>0</v>
      </c>
      <c r="F130" s="25" t="str">
        <f>NoToTxt(E130,"جنيه","قرش")&amp;" لاغير  "</f>
        <v xml:space="preserve">صفر لاغير  </v>
      </c>
      <c r="G130" s="26"/>
      <c r="H130" s="4">
        <f>COUNTIF(C90:C129,"*")</f>
        <v>0</v>
      </c>
    </row>
    <row r="131" spans="1:8" ht="18" customHeight="1" x14ac:dyDescent="0.25">
      <c r="A131" s="21" t="s">
        <v>10602</v>
      </c>
      <c r="B131" s="21"/>
      <c r="C131" s="21"/>
      <c r="D131" s="21"/>
      <c r="E131" s="21"/>
      <c r="F131" s="21"/>
      <c r="G131" s="21"/>
    </row>
    <row r="132" spans="1:8" ht="32.25" customHeight="1" x14ac:dyDescent="0.25">
      <c r="A132" s="27" t="s">
        <v>10014</v>
      </c>
      <c r="B132" s="28"/>
      <c r="C132" s="28"/>
      <c r="D132" s="28"/>
      <c r="E132" s="28"/>
      <c r="F132" s="28"/>
      <c r="G132" s="28"/>
    </row>
    <row r="133" spans="1:8" ht="18" customHeight="1" x14ac:dyDescent="0.25">
      <c r="A133" s="28"/>
      <c r="B133" s="28"/>
      <c r="C133" s="28"/>
      <c r="D133" s="28"/>
      <c r="E133" s="28"/>
      <c r="F133" s="28"/>
      <c r="G133" s="28"/>
    </row>
    <row r="134" spans="1:8" ht="33.75" customHeight="1" x14ac:dyDescent="0.25">
      <c r="A134" s="29" t="str">
        <f>A86</f>
        <v xml:space="preserve"> تابع حافظة شيكات محررة للعملاء طبقاً لموافقة لجنه الائتمان والتمويل المتناهى الصغر المنعقدة في تاريخ </v>
      </c>
      <c r="B134" s="29"/>
      <c r="C134" s="29"/>
      <c r="D134" s="29"/>
      <c r="E134" s="29"/>
      <c r="F134" s="29"/>
      <c r="G134" s="29"/>
    </row>
    <row r="135" spans="1:8" ht="19.5" customHeight="1" x14ac:dyDescent="0.25">
      <c r="A135" s="30" t="str">
        <f>A87</f>
        <v>علي الحساب الجاري رقم / 405033714006  ببنك الأسكندرية فرع اسيوط</v>
      </c>
      <c r="B135" s="30"/>
      <c r="C135" s="30"/>
      <c r="D135" s="30"/>
      <c r="E135" s="30"/>
      <c r="F135" s="30"/>
      <c r="G135" s="30"/>
    </row>
    <row r="136" spans="1:8" ht="30" customHeight="1" x14ac:dyDescent="0.25">
      <c r="A136" s="6" t="s">
        <v>10005</v>
      </c>
      <c r="B136" s="6" t="s">
        <v>10006</v>
      </c>
      <c r="C136" s="9" t="s">
        <v>10007</v>
      </c>
      <c r="D136" s="6" t="s">
        <v>10008</v>
      </c>
      <c r="E136" s="6" t="s">
        <v>10009</v>
      </c>
      <c r="F136" s="6" t="s">
        <v>10010</v>
      </c>
      <c r="G136" s="6" t="s">
        <v>10011</v>
      </c>
    </row>
    <row r="137" spans="1:8" ht="30" customHeight="1" x14ac:dyDescent="0.25">
      <c r="A137" s="22" t="s">
        <v>10015</v>
      </c>
      <c r="B137" s="23"/>
      <c r="C137" s="23"/>
      <c r="D137" s="24"/>
      <c r="E137" s="14">
        <f>E130</f>
        <v>0</v>
      </c>
      <c r="F137" s="25" t="str">
        <f>NoToTxt(E137,"جنيه","قرش")&amp;" لاغير  "</f>
        <v xml:space="preserve">صفر لاغير  </v>
      </c>
      <c r="G137" s="26"/>
    </row>
    <row r="138" spans="1:8" ht="18" customHeight="1" x14ac:dyDescent="0.25">
      <c r="A138" s="3">
        <v>81</v>
      </c>
      <c r="B138" s="3"/>
      <c r="C138" s="10"/>
      <c r="D138" s="11"/>
      <c r="E138" s="3"/>
      <c r="F138" s="11"/>
      <c r="G138" s="3"/>
    </row>
    <row r="139" spans="1:8" ht="18" customHeight="1" x14ac:dyDescent="0.25">
      <c r="A139" s="3">
        <v>82</v>
      </c>
      <c r="B139" s="3"/>
      <c r="C139" s="10"/>
      <c r="D139" s="11"/>
      <c r="E139" s="3"/>
      <c r="F139" s="11"/>
      <c r="G139" s="3"/>
    </row>
    <row r="140" spans="1:8" ht="18" customHeight="1" x14ac:dyDescent="0.25">
      <c r="A140" s="3">
        <v>83</v>
      </c>
      <c r="B140" s="3"/>
      <c r="C140" s="10"/>
      <c r="D140" s="11"/>
      <c r="E140" s="3"/>
      <c r="F140" s="11"/>
      <c r="G140" s="3"/>
    </row>
    <row r="141" spans="1:8" ht="18" customHeight="1" x14ac:dyDescent="0.25">
      <c r="A141" s="3">
        <v>84</v>
      </c>
      <c r="B141" s="3"/>
      <c r="C141" s="10"/>
      <c r="D141" s="11"/>
      <c r="E141" s="3"/>
      <c r="F141" s="11"/>
      <c r="G141" s="3"/>
    </row>
    <row r="142" spans="1:8" ht="18" customHeight="1" x14ac:dyDescent="0.25">
      <c r="A142" s="3">
        <v>85</v>
      </c>
      <c r="B142" s="3"/>
      <c r="C142" s="10"/>
      <c r="D142" s="11"/>
      <c r="E142" s="3"/>
      <c r="F142" s="11"/>
      <c r="G142" s="3"/>
    </row>
    <row r="143" spans="1:8" ht="18" customHeight="1" x14ac:dyDescent="0.25">
      <c r="A143" s="3">
        <v>86</v>
      </c>
      <c r="B143" s="3"/>
      <c r="C143" s="10"/>
      <c r="D143" s="11"/>
      <c r="E143" s="3"/>
      <c r="F143" s="11"/>
      <c r="G143" s="3"/>
    </row>
    <row r="144" spans="1:8" ht="18" customHeight="1" x14ac:dyDescent="0.25">
      <c r="A144" s="3">
        <v>87</v>
      </c>
      <c r="B144" s="3"/>
      <c r="C144" s="10"/>
      <c r="D144" s="11"/>
      <c r="E144" s="3"/>
      <c r="F144" s="11"/>
      <c r="G144" s="3"/>
    </row>
    <row r="145" spans="1:7" ht="18" customHeight="1" x14ac:dyDescent="0.25">
      <c r="A145" s="3">
        <v>88</v>
      </c>
      <c r="B145" s="3"/>
      <c r="C145" s="10"/>
      <c r="D145" s="11"/>
      <c r="E145" s="3"/>
      <c r="F145" s="11"/>
      <c r="G145" s="3"/>
    </row>
    <row r="146" spans="1:7" ht="18" customHeight="1" x14ac:dyDescent="0.25">
      <c r="A146" s="3">
        <v>89</v>
      </c>
      <c r="B146" s="3"/>
      <c r="C146" s="10"/>
      <c r="D146" s="11"/>
      <c r="E146" s="3"/>
      <c r="F146" s="11"/>
      <c r="G146" s="3"/>
    </row>
    <row r="147" spans="1:7" ht="18" customHeight="1" x14ac:dyDescent="0.25">
      <c r="A147" s="3">
        <v>90</v>
      </c>
      <c r="B147" s="3"/>
      <c r="C147" s="10"/>
      <c r="D147" s="11"/>
      <c r="E147" s="3"/>
      <c r="F147" s="11"/>
      <c r="G147" s="3"/>
    </row>
    <row r="148" spans="1:7" ht="18" customHeight="1" x14ac:dyDescent="0.25">
      <c r="A148" s="3">
        <v>91</v>
      </c>
      <c r="B148" s="3"/>
      <c r="C148" s="10"/>
      <c r="D148" s="11"/>
      <c r="E148" s="3"/>
      <c r="F148" s="11"/>
      <c r="G148" s="3"/>
    </row>
    <row r="149" spans="1:7" ht="18" customHeight="1" x14ac:dyDescent="0.25">
      <c r="A149" s="3">
        <v>92</v>
      </c>
      <c r="B149" s="3"/>
      <c r="C149" s="10"/>
      <c r="D149" s="11"/>
      <c r="E149" s="3"/>
      <c r="F149" s="11"/>
      <c r="G149" s="3"/>
    </row>
    <row r="150" spans="1:7" ht="18" customHeight="1" x14ac:dyDescent="0.25">
      <c r="A150" s="3">
        <v>93</v>
      </c>
      <c r="B150" s="3"/>
      <c r="C150" s="10"/>
      <c r="D150" s="11"/>
      <c r="E150" s="3"/>
      <c r="F150" s="11"/>
      <c r="G150" s="3"/>
    </row>
    <row r="151" spans="1:7" ht="18" customHeight="1" x14ac:dyDescent="0.25">
      <c r="A151" s="3">
        <v>94</v>
      </c>
      <c r="B151" s="3"/>
      <c r="C151" s="10"/>
      <c r="D151" s="11"/>
      <c r="E151" s="3"/>
      <c r="F151" s="11"/>
      <c r="G151" s="3"/>
    </row>
    <row r="152" spans="1:7" ht="18" customHeight="1" x14ac:dyDescent="0.25">
      <c r="A152" s="3">
        <v>95</v>
      </c>
      <c r="B152" s="3"/>
      <c r="C152" s="10"/>
      <c r="D152" s="11"/>
      <c r="E152" s="3"/>
      <c r="F152" s="11"/>
      <c r="G152" s="3"/>
    </row>
    <row r="153" spans="1:7" ht="18" customHeight="1" x14ac:dyDescent="0.25">
      <c r="A153" s="3">
        <v>96</v>
      </c>
      <c r="B153" s="3"/>
      <c r="C153" s="10"/>
      <c r="D153" s="11"/>
      <c r="E153" s="3"/>
      <c r="F153" s="11"/>
      <c r="G153" s="3"/>
    </row>
    <row r="154" spans="1:7" ht="18" customHeight="1" x14ac:dyDescent="0.25">
      <c r="A154" s="3">
        <v>97</v>
      </c>
      <c r="B154" s="3"/>
      <c r="C154" s="10"/>
      <c r="D154" s="11"/>
      <c r="E154" s="3"/>
      <c r="F154" s="11"/>
      <c r="G154" s="3"/>
    </row>
    <row r="155" spans="1:7" ht="18" customHeight="1" x14ac:dyDescent="0.25">
      <c r="A155" s="3">
        <v>98</v>
      </c>
      <c r="B155" s="3"/>
      <c r="C155" s="10"/>
      <c r="D155" s="11"/>
      <c r="E155" s="3"/>
      <c r="F155" s="11"/>
      <c r="G155" s="3"/>
    </row>
    <row r="156" spans="1:7" ht="18" customHeight="1" x14ac:dyDescent="0.25">
      <c r="A156" s="3">
        <v>99</v>
      </c>
      <c r="B156" s="3"/>
      <c r="C156" s="10"/>
      <c r="D156" s="11"/>
      <c r="E156" s="3"/>
      <c r="F156" s="11"/>
      <c r="G156" s="3"/>
    </row>
    <row r="157" spans="1:7" ht="18" customHeight="1" x14ac:dyDescent="0.25">
      <c r="A157" s="3">
        <v>100</v>
      </c>
      <c r="B157" s="3"/>
      <c r="C157" s="10"/>
      <c r="D157" s="11"/>
      <c r="E157" s="3"/>
      <c r="F157" s="11"/>
      <c r="G157" s="3"/>
    </row>
    <row r="158" spans="1:7" ht="18" customHeight="1" x14ac:dyDescent="0.25">
      <c r="A158" s="3">
        <v>101</v>
      </c>
      <c r="B158" s="3"/>
      <c r="C158" s="10"/>
      <c r="D158" s="11"/>
      <c r="E158" s="3"/>
      <c r="F158" s="11"/>
      <c r="G158" s="3"/>
    </row>
    <row r="159" spans="1:7" ht="18" customHeight="1" x14ac:dyDescent="0.25">
      <c r="A159" s="3">
        <v>102</v>
      </c>
      <c r="B159" s="3"/>
      <c r="C159" s="10"/>
      <c r="D159" s="11"/>
      <c r="E159" s="3"/>
      <c r="F159" s="11"/>
      <c r="G159" s="3"/>
    </row>
    <row r="160" spans="1:7" ht="18" customHeight="1" x14ac:dyDescent="0.25">
      <c r="A160" s="3">
        <v>103</v>
      </c>
      <c r="B160" s="3"/>
      <c r="C160" s="10"/>
      <c r="D160" s="11"/>
      <c r="E160" s="3"/>
      <c r="F160" s="11"/>
      <c r="G160" s="3"/>
    </row>
    <row r="161" spans="1:7" ht="18" customHeight="1" x14ac:dyDescent="0.25">
      <c r="A161" s="3">
        <v>104</v>
      </c>
      <c r="B161" s="3"/>
      <c r="C161" s="10"/>
      <c r="D161" s="11"/>
      <c r="E161" s="3"/>
      <c r="F161" s="11"/>
      <c r="G161" s="3"/>
    </row>
    <row r="162" spans="1:7" ht="18" customHeight="1" x14ac:dyDescent="0.25">
      <c r="A162" s="3">
        <v>105</v>
      </c>
      <c r="B162" s="3"/>
      <c r="C162" s="10"/>
      <c r="D162" s="11"/>
      <c r="E162" s="3"/>
      <c r="F162" s="11"/>
      <c r="G162" s="3"/>
    </row>
    <row r="163" spans="1:7" ht="18" customHeight="1" x14ac:dyDescent="0.25">
      <c r="A163" s="3">
        <v>106</v>
      </c>
      <c r="B163" s="3"/>
      <c r="C163" s="10"/>
      <c r="D163" s="11"/>
      <c r="E163" s="3"/>
      <c r="F163" s="11"/>
      <c r="G163" s="3"/>
    </row>
    <row r="164" spans="1:7" ht="18" customHeight="1" x14ac:dyDescent="0.25">
      <c r="A164" s="3">
        <v>107</v>
      </c>
      <c r="B164" s="3"/>
      <c r="C164" s="10"/>
      <c r="D164" s="11"/>
      <c r="E164" s="3"/>
      <c r="F164" s="11"/>
      <c r="G164" s="3"/>
    </row>
    <row r="165" spans="1:7" ht="18" customHeight="1" x14ac:dyDescent="0.25">
      <c r="A165" s="3">
        <v>108</v>
      </c>
      <c r="B165" s="3"/>
      <c r="C165" s="10"/>
      <c r="D165" s="11"/>
      <c r="E165" s="3"/>
      <c r="F165" s="11"/>
      <c r="G165" s="3"/>
    </row>
    <row r="166" spans="1:7" ht="18" customHeight="1" x14ac:dyDescent="0.25">
      <c r="A166" s="3">
        <v>109</v>
      </c>
      <c r="B166" s="3"/>
      <c r="C166" s="10"/>
      <c r="D166" s="11"/>
      <c r="E166" s="3"/>
      <c r="F166" s="11"/>
      <c r="G166" s="3"/>
    </row>
    <row r="167" spans="1:7" ht="18" customHeight="1" x14ac:dyDescent="0.25">
      <c r="A167" s="3">
        <v>110</v>
      </c>
      <c r="B167" s="3"/>
      <c r="C167" s="10"/>
      <c r="D167" s="11"/>
      <c r="E167" s="3"/>
      <c r="F167" s="11"/>
      <c r="G167" s="3"/>
    </row>
    <row r="168" spans="1:7" ht="18" customHeight="1" x14ac:dyDescent="0.25">
      <c r="A168" s="3">
        <v>111</v>
      </c>
      <c r="B168" s="3"/>
      <c r="C168" s="10"/>
      <c r="D168" s="11"/>
      <c r="E168" s="3"/>
      <c r="F168" s="11"/>
      <c r="G168" s="3"/>
    </row>
    <row r="169" spans="1:7" ht="18" customHeight="1" x14ac:dyDescent="0.25">
      <c r="A169" s="3">
        <v>112</v>
      </c>
      <c r="B169" s="3"/>
      <c r="C169" s="10"/>
      <c r="D169" s="11"/>
      <c r="E169" s="3"/>
      <c r="F169" s="11"/>
      <c r="G169" s="3"/>
    </row>
    <row r="170" spans="1:7" ht="18" customHeight="1" x14ac:dyDescent="0.25">
      <c r="A170" s="3">
        <v>113</v>
      </c>
      <c r="B170" s="3"/>
      <c r="C170" s="10"/>
      <c r="D170" s="11"/>
      <c r="E170" s="3"/>
      <c r="F170" s="11"/>
      <c r="G170" s="3"/>
    </row>
    <row r="171" spans="1:7" ht="18" customHeight="1" x14ac:dyDescent="0.25">
      <c r="A171" s="3">
        <v>114</v>
      </c>
      <c r="B171" s="3"/>
      <c r="C171" s="10"/>
      <c r="D171" s="11"/>
      <c r="E171" s="3"/>
      <c r="F171" s="11"/>
      <c r="G171" s="3"/>
    </row>
    <row r="172" spans="1:7" ht="18" customHeight="1" x14ac:dyDescent="0.25">
      <c r="A172" s="3">
        <v>115</v>
      </c>
      <c r="B172" s="3"/>
      <c r="C172" s="10"/>
      <c r="D172" s="11"/>
      <c r="E172" s="3"/>
      <c r="F172" s="11"/>
      <c r="G172" s="3"/>
    </row>
    <row r="173" spans="1:7" ht="18" customHeight="1" x14ac:dyDescent="0.25">
      <c r="A173" s="3">
        <v>116</v>
      </c>
      <c r="B173" s="3"/>
      <c r="C173" s="10"/>
      <c r="D173" s="11"/>
      <c r="E173" s="3"/>
      <c r="F173" s="11"/>
      <c r="G173" s="3"/>
    </row>
    <row r="174" spans="1:7" ht="18" customHeight="1" x14ac:dyDescent="0.25">
      <c r="A174" s="3">
        <v>117</v>
      </c>
      <c r="B174" s="3"/>
      <c r="C174" s="10"/>
      <c r="D174" s="11"/>
      <c r="E174" s="3"/>
      <c r="F174" s="11"/>
      <c r="G174" s="3"/>
    </row>
    <row r="175" spans="1:7" ht="18" customHeight="1" x14ac:dyDescent="0.25">
      <c r="A175" s="3">
        <v>118</v>
      </c>
      <c r="B175" s="3"/>
      <c r="C175" s="10"/>
      <c r="D175" s="11"/>
      <c r="E175" s="3"/>
      <c r="F175" s="11"/>
      <c r="G175" s="3"/>
    </row>
    <row r="176" spans="1:7" ht="18" customHeight="1" x14ac:dyDescent="0.25">
      <c r="A176" s="3">
        <v>119</v>
      </c>
      <c r="B176" s="3"/>
      <c r="C176" s="10"/>
      <c r="D176" s="11"/>
      <c r="E176" s="3"/>
      <c r="F176" s="11"/>
      <c r="G176" s="3"/>
    </row>
    <row r="177" spans="1:7" ht="18" customHeight="1" x14ac:dyDescent="0.25">
      <c r="A177" s="3">
        <v>120</v>
      </c>
      <c r="B177" s="3"/>
      <c r="C177" s="10"/>
      <c r="D177" s="11"/>
      <c r="E177" s="3"/>
      <c r="F177" s="11"/>
      <c r="G177" s="3"/>
    </row>
    <row r="178" spans="1:7" ht="33" customHeight="1" x14ac:dyDescent="0.25">
      <c r="A178" s="22" t="str">
        <f>"اجمالى عدد "&amp;COUNTIF(C138:C177,"*")&amp;" شيك بمبلغ"</f>
        <v>اجمالى عدد 0 شيك بمبلغ</v>
      </c>
      <c r="B178" s="23"/>
      <c r="C178" s="23"/>
      <c r="D178" s="24"/>
      <c r="E178" s="13">
        <f>SUM(E137:E177)</f>
        <v>0</v>
      </c>
      <c r="F178" s="25" t="str">
        <f>NoToTxt(E178,"جنيه","قرش")&amp;" لاغير  "</f>
        <v xml:space="preserve">صفر لاغير  </v>
      </c>
      <c r="G178" s="26"/>
    </row>
    <row r="179" spans="1:7" ht="18" customHeight="1" x14ac:dyDescent="0.25">
      <c r="A179" s="21" t="s">
        <v>10013</v>
      </c>
      <c r="B179" s="21"/>
      <c r="C179" s="21"/>
      <c r="D179" s="21"/>
      <c r="E179" s="21"/>
      <c r="F179" s="21"/>
      <c r="G179" s="21"/>
    </row>
    <row r="180" spans="1:7" ht="32.25" customHeight="1" x14ac:dyDescent="0.25">
      <c r="A180" s="27" t="s">
        <v>10014</v>
      </c>
      <c r="B180" s="28"/>
      <c r="C180" s="28"/>
      <c r="D180" s="28"/>
      <c r="E180" s="28"/>
      <c r="F180" s="28"/>
      <c r="G180" s="28"/>
    </row>
    <row r="181" spans="1:7" ht="18" customHeight="1" x14ac:dyDescent="0.25">
      <c r="A181" s="28"/>
      <c r="B181" s="28"/>
      <c r="C181" s="28"/>
      <c r="D181" s="28"/>
      <c r="E181" s="28"/>
      <c r="F181" s="28"/>
      <c r="G181" s="28"/>
    </row>
    <row r="182" spans="1:7" ht="33.75" customHeight="1" x14ac:dyDescent="0.25">
      <c r="A182" s="29" t="str">
        <f>A134</f>
        <v xml:space="preserve"> تابع حافظة شيكات محررة للعملاء طبقاً لموافقة لجنه الائتمان والتمويل المتناهى الصغر المنعقدة في تاريخ </v>
      </c>
      <c r="B182" s="29"/>
      <c r="C182" s="29"/>
      <c r="D182" s="29"/>
      <c r="E182" s="29"/>
      <c r="F182" s="29"/>
      <c r="G182" s="29"/>
    </row>
    <row r="183" spans="1:7" ht="19.5" customHeight="1" x14ac:dyDescent="0.25">
      <c r="A183" s="30" t="str">
        <f>A135</f>
        <v>علي الحساب الجاري رقم / 405033714006  ببنك الأسكندرية فرع اسيوط</v>
      </c>
      <c r="B183" s="30"/>
      <c r="C183" s="30"/>
      <c r="D183" s="30"/>
      <c r="E183" s="30"/>
      <c r="F183" s="30"/>
      <c r="G183" s="30"/>
    </row>
    <row r="184" spans="1:7" ht="30" customHeight="1" x14ac:dyDescent="0.25">
      <c r="A184" s="6" t="s">
        <v>10005</v>
      </c>
      <c r="B184" s="6" t="s">
        <v>10006</v>
      </c>
      <c r="C184" s="9" t="s">
        <v>10007</v>
      </c>
      <c r="D184" s="6" t="s">
        <v>10008</v>
      </c>
      <c r="E184" s="6" t="s">
        <v>10009</v>
      </c>
      <c r="F184" s="6" t="s">
        <v>10010</v>
      </c>
      <c r="G184" s="6" t="s">
        <v>10011</v>
      </c>
    </row>
    <row r="185" spans="1:7" ht="30" customHeight="1" x14ac:dyDescent="0.25">
      <c r="A185" s="22" t="s">
        <v>10594</v>
      </c>
      <c r="B185" s="23"/>
      <c r="C185" s="23"/>
      <c r="D185" s="24"/>
      <c r="E185" s="14">
        <f>E178</f>
        <v>0</v>
      </c>
      <c r="F185" s="25" t="str">
        <f>NoToTxt(E185,"جنيه","قرش")&amp;" لاغير  "</f>
        <v xml:space="preserve">صفر لاغير  </v>
      </c>
      <c r="G185" s="26"/>
    </row>
    <row r="186" spans="1:7" ht="18" customHeight="1" x14ac:dyDescent="0.25">
      <c r="A186" s="3">
        <v>121</v>
      </c>
      <c r="B186" s="3"/>
      <c r="C186" s="10"/>
      <c r="D186" s="3"/>
      <c r="E186" s="3"/>
      <c r="F186" s="11"/>
      <c r="G186" s="3"/>
    </row>
    <row r="187" spans="1:7" ht="18" customHeight="1" x14ac:dyDescent="0.25">
      <c r="A187" s="3">
        <v>122</v>
      </c>
      <c r="B187" s="3"/>
      <c r="C187" s="10"/>
      <c r="D187" s="3"/>
      <c r="E187" s="3"/>
      <c r="F187" s="11"/>
      <c r="G187" s="3"/>
    </row>
    <row r="188" spans="1:7" ht="18" customHeight="1" x14ac:dyDescent="0.25">
      <c r="A188" s="3">
        <v>123</v>
      </c>
      <c r="B188" s="3"/>
      <c r="C188" s="10"/>
      <c r="D188" s="3"/>
      <c r="E188" s="3"/>
      <c r="F188" s="11"/>
      <c r="G188" s="3"/>
    </row>
    <row r="189" spans="1:7" ht="18" customHeight="1" x14ac:dyDescent="0.25">
      <c r="A189" s="3">
        <v>124</v>
      </c>
      <c r="B189" s="3"/>
      <c r="C189" s="10"/>
      <c r="D189" s="3"/>
      <c r="E189" s="3"/>
      <c r="F189" s="11"/>
      <c r="G189" s="3"/>
    </row>
    <row r="190" spans="1:7" ht="18" customHeight="1" x14ac:dyDescent="0.25">
      <c r="A190" s="3">
        <v>125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126</v>
      </c>
      <c r="B191" s="3"/>
      <c r="C191" s="10"/>
      <c r="D191" s="3"/>
      <c r="E191" s="3"/>
      <c r="F191" s="11"/>
      <c r="G191" s="3"/>
    </row>
    <row r="192" spans="1:7" ht="18" customHeight="1" x14ac:dyDescent="0.25">
      <c r="A192" s="3">
        <v>127</v>
      </c>
      <c r="B192" s="3"/>
      <c r="C192" s="10"/>
      <c r="D192" s="3"/>
      <c r="E192" s="3"/>
      <c r="F192" s="11"/>
      <c r="G192" s="3"/>
    </row>
    <row r="193" spans="1:7" ht="18" customHeight="1" x14ac:dyDescent="0.25">
      <c r="A193" s="3">
        <v>128</v>
      </c>
      <c r="B193" s="3"/>
      <c r="C193" s="10"/>
      <c r="D193" s="3"/>
      <c r="E193" s="3"/>
      <c r="F193" s="11"/>
      <c r="G193" s="3"/>
    </row>
    <row r="194" spans="1:7" ht="18" customHeight="1" x14ac:dyDescent="0.25">
      <c r="A194" s="3">
        <v>129</v>
      </c>
      <c r="B194" s="3"/>
      <c r="C194" s="10"/>
      <c r="D194" s="3"/>
      <c r="E194" s="3"/>
      <c r="F194" s="11"/>
      <c r="G194" s="3"/>
    </row>
    <row r="195" spans="1:7" ht="18" customHeight="1" x14ac:dyDescent="0.25">
      <c r="A195" s="3">
        <v>130</v>
      </c>
      <c r="B195" s="3"/>
      <c r="C195" s="10"/>
      <c r="D195" s="3"/>
      <c r="E195" s="3"/>
      <c r="F195" s="11"/>
      <c r="G195" s="3"/>
    </row>
    <row r="196" spans="1:7" ht="18" customHeight="1" x14ac:dyDescent="0.25">
      <c r="A196" s="3">
        <v>131</v>
      </c>
      <c r="B196" s="3"/>
      <c r="C196" s="10"/>
      <c r="D196" s="3"/>
      <c r="E196" s="3"/>
      <c r="F196" s="11"/>
      <c r="G196" s="3"/>
    </row>
    <row r="197" spans="1:7" ht="18" customHeight="1" x14ac:dyDescent="0.25">
      <c r="A197" s="3">
        <v>132</v>
      </c>
      <c r="B197" s="3"/>
      <c r="C197" s="10"/>
      <c r="D197" s="3"/>
      <c r="E197" s="3"/>
      <c r="F197" s="11"/>
      <c r="G197" s="3"/>
    </row>
    <row r="198" spans="1:7" ht="18" customHeight="1" x14ac:dyDescent="0.25">
      <c r="A198" s="3">
        <v>133</v>
      </c>
      <c r="B198" s="3"/>
      <c r="C198" s="10"/>
      <c r="D198" s="3"/>
      <c r="E198" s="3"/>
      <c r="F198" s="11"/>
      <c r="G198" s="3"/>
    </row>
    <row r="199" spans="1:7" ht="18" customHeight="1" x14ac:dyDescent="0.25">
      <c r="A199" s="3">
        <v>134</v>
      </c>
      <c r="B199" s="3"/>
      <c r="C199" s="10"/>
      <c r="D199" s="3"/>
      <c r="E199" s="3"/>
      <c r="F199" s="11"/>
      <c r="G199" s="3"/>
    </row>
    <row r="200" spans="1:7" ht="18" customHeight="1" x14ac:dyDescent="0.25">
      <c r="A200" s="3">
        <v>135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136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137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138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139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140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141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142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143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144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145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146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147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148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149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150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151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152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153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154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155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156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157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158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159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160</v>
      </c>
      <c r="B225" s="3"/>
      <c r="C225" s="10"/>
      <c r="D225" s="3"/>
      <c r="E225" s="3"/>
      <c r="F225" s="11"/>
      <c r="G225" s="3"/>
    </row>
    <row r="226" spans="1:7" ht="33" customHeight="1" x14ac:dyDescent="0.25">
      <c r="A226" s="22" t="str">
        <f>"اجمالى عدد "&amp;COUNTIF(C186:C225,"*")&amp;" شيك بمبلغ"</f>
        <v>اجمالى عدد 0 شيك بمبلغ</v>
      </c>
      <c r="B226" s="23"/>
      <c r="C226" s="23"/>
      <c r="D226" s="24"/>
      <c r="E226" s="13">
        <f>SUM(E185:E225)</f>
        <v>0</v>
      </c>
      <c r="F226" s="25" t="str">
        <f>NoToTxt(E226,"جنيه","قرش")&amp;" لاغير  "</f>
        <v xml:space="preserve">صفر لاغير  </v>
      </c>
      <c r="G226" s="26"/>
    </row>
    <row r="227" spans="1:7" ht="18" customHeight="1" x14ac:dyDescent="0.25">
      <c r="A227" s="21" t="s">
        <v>10013</v>
      </c>
      <c r="B227" s="21"/>
      <c r="C227" s="21"/>
      <c r="D227" s="21"/>
      <c r="E227" s="21"/>
      <c r="F227" s="21"/>
      <c r="G227" s="21"/>
    </row>
    <row r="228" spans="1:7" ht="32.25" customHeight="1" x14ac:dyDescent="0.25">
      <c r="A228" s="27" t="s">
        <v>10014</v>
      </c>
      <c r="B228" s="28"/>
      <c r="C228" s="28"/>
      <c r="D228" s="28"/>
      <c r="E228" s="28"/>
      <c r="F228" s="28"/>
      <c r="G228" s="28"/>
    </row>
    <row r="229" spans="1:7" ht="18" customHeight="1" x14ac:dyDescent="0.25">
      <c r="A229" s="28"/>
      <c r="B229" s="28"/>
      <c r="C229" s="28"/>
      <c r="D229" s="28"/>
      <c r="E229" s="28"/>
      <c r="F229" s="28"/>
      <c r="G229" s="28"/>
    </row>
    <row r="230" spans="1:7" ht="33.75" customHeight="1" x14ac:dyDescent="0.25">
      <c r="A230" s="29" t="str">
        <f>A182</f>
        <v xml:space="preserve"> تابع حافظة شيكات محررة للعملاء طبقاً لموافقة لجنه الائتمان والتمويل المتناهى الصغر المنعقدة في تاريخ </v>
      </c>
      <c r="B230" s="29"/>
      <c r="C230" s="29"/>
      <c r="D230" s="29"/>
      <c r="E230" s="29"/>
      <c r="F230" s="29"/>
      <c r="G230" s="29"/>
    </row>
    <row r="231" spans="1:7" ht="19.5" customHeight="1" x14ac:dyDescent="0.25">
      <c r="A231" s="30" t="str">
        <f>A183</f>
        <v>علي الحساب الجاري رقم / 405033714006  ببنك الأسكندرية فرع اسيوط</v>
      </c>
      <c r="B231" s="30"/>
      <c r="C231" s="30"/>
      <c r="D231" s="30"/>
      <c r="E231" s="30"/>
      <c r="F231" s="30"/>
      <c r="G231" s="30"/>
    </row>
    <row r="232" spans="1:7" ht="30" customHeight="1" x14ac:dyDescent="0.25">
      <c r="A232" s="6" t="s">
        <v>10005</v>
      </c>
      <c r="B232" s="6" t="s">
        <v>10006</v>
      </c>
      <c r="C232" s="9" t="s">
        <v>10007</v>
      </c>
      <c r="D232" s="6" t="s">
        <v>10008</v>
      </c>
      <c r="E232" s="6" t="s">
        <v>10009</v>
      </c>
      <c r="F232" s="6" t="s">
        <v>10010</v>
      </c>
      <c r="G232" s="6" t="s">
        <v>10011</v>
      </c>
    </row>
    <row r="233" spans="1:7" ht="30" customHeight="1" x14ac:dyDescent="0.25">
      <c r="A233" s="22" t="s">
        <v>10595</v>
      </c>
      <c r="B233" s="23"/>
      <c r="C233" s="23"/>
      <c r="D233" s="24"/>
      <c r="E233" s="14">
        <f>E226</f>
        <v>0</v>
      </c>
      <c r="F233" s="25" t="str">
        <f>NoToTxt(E233,"جنيه","قرش")&amp;" لاغير  "</f>
        <v xml:space="preserve">صفر لاغير  </v>
      </c>
      <c r="G233" s="26"/>
    </row>
    <row r="234" spans="1:7" ht="18" customHeight="1" x14ac:dyDescent="0.25">
      <c r="A234" s="3">
        <v>161</v>
      </c>
      <c r="B234" s="3"/>
      <c r="C234" s="10"/>
      <c r="D234" s="3"/>
      <c r="E234" s="3"/>
      <c r="F234" s="11"/>
      <c r="G234" s="3"/>
    </row>
    <row r="235" spans="1:7" ht="18" customHeight="1" x14ac:dyDescent="0.25">
      <c r="A235" s="3">
        <v>162</v>
      </c>
      <c r="B235" s="3"/>
      <c r="C235" s="10"/>
      <c r="D235" s="3"/>
      <c r="E235" s="3"/>
      <c r="F235" s="11"/>
      <c r="G235" s="3"/>
    </row>
    <row r="236" spans="1:7" ht="18" customHeight="1" x14ac:dyDescent="0.25">
      <c r="A236" s="3">
        <v>163</v>
      </c>
      <c r="B236" s="3"/>
      <c r="C236" s="10"/>
      <c r="D236" s="3"/>
      <c r="E236" s="3"/>
      <c r="F236" s="11"/>
      <c r="G236" s="3"/>
    </row>
    <row r="237" spans="1:7" ht="18" customHeight="1" x14ac:dyDescent="0.25">
      <c r="A237" s="3">
        <v>164</v>
      </c>
      <c r="B237" s="3"/>
      <c r="C237" s="10"/>
      <c r="D237" s="3"/>
      <c r="E237" s="3"/>
      <c r="F237" s="11"/>
      <c r="G237" s="3"/>
    </row>
    <row r="238" spans="1:7" ht="18" customHeight="1" x14ac:dyDescent="0.25">
      <c r="A238" s="3">
        <v>165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166</v>
      </c>
      <c r="B239" s="3"/>
      <c r="C239" s="10"/>
      <c r="D239" s="3"/>
      <c r="E239" s="3"/>
      <c r="F239" s="11"/>
      <c r="G239" s="3"/>
    </row>
    <row r="240" spans="1:7" ht="18" customHeight="1" x14ac:dyDescent="0.25">
      <c r="A240" s="3">
        <v>167</v>
      </c>
      <c r="B240" s="3"/>
      <c r="C240" s="10"/>
      <c r="D240" s="3"/>
      <c r="E240" s="3"/>
      <c r="F240" s="11"/>
      <c r="G240" s="3"/>
    </row>
    <row r="241" spans="1:7" ht="18" customHeight="1" x14ac:dyDescent="0.25">
      <c r="A241" s="3">
        <v>168</v>
      </c>
      <c r="B241" s="3"/>
      <c r="C241" s="10"/>
      <c r="D241" s="3"/>
      <c r="E241" s="3"/>
      <c r="F241" s="11"/>
      <c r="G241" s="3"/>
    </row>
    <row r="242" spans="1:7" ht="18" customHeight="1" x14ac:dyDescent="0.25">
      <c r="A242" s="3">
        <v>169</v>
      </c>
      <c r="B242" s="3"/>
      <c r="C242" s="10"/>
      <c r="D242" s="3"/>
      <c r="E242" s="3"/>
      <c r="F242" s="11"/>
      <c r="G242" s="3"/>
    </row>
    <row r="243" spans="1:7" ht="18" customHeight="1" x14ac:dyDescent="0.25">
      <c r="A243" s="3">
        <v>170</v>
      </c>
      <c r="B243" s="3"/>
      <c r="C243" s="10"/>
      <c r="D243" s="3"/>
      <c r="E243" s="3"/>
      <c r="F243" s="11"/>
      <c r="G243" s="3"/>
    </row>
    <row r="244" spans="1:7" ht="18" customHeight="1" x14ac:dyDescent="0.25">
      <c r="A244" s="3">
        <v>171</v>
      </c>
      <c r="B244" s="3"/>
      <c r="C244" s="10"/>
      <c r="D244" s="3"/>
      <c r="E244" s="3"/>
      <c r="F244" s="11"/>
      <c r="G244" s="3"/>
    </row>
    <row r="245" spans="1:7" ht="18" customHeight="1" x14ac:dyDescent="0.25">
      <c r="A245" s="3">
        <v>172</v>
      </c>
      <c r="B245" s="3"/>
      <c r="C245" s="10"/>
      <c r="D245" s="3"/>
      <c r="E245" s="3"/>
      <c r="F245" s="11"/>
      <c r="G245" s="3"/>
    </row>
    <row r="246" spans="1:7" ht="18" customHeight="1" x14ac:dyDescent="0.25">
      <c r="A246" s="3">
        <v>173</v>
      </c>
      <c r="B246" s="3"/>
      <c r="C246" s="10"/>
      <c r="D246" s="3"/>
      <c r="E246" s="3"/>
      <c r="F246" s="11"/>
      <c r="G246" s="3"/>
    </row>
    <row r="247" spans="1:7" ht="18" customHeight="1" x14ac:dyDescent="0.25">
      <c r="A247" s="3">
        <v>174</v>
      </c>
      <c r="B247" s="3"/>
      <c r="C247" s="10"/>
      <c r="D247" s="3"/>
      <c r="E247" s="3"/>
      <c r="F247" s="11"/>
      <c r="G247" s="3"/>
    </row>
    <row r="248" spans="1:7" ht="18" customHeight="1" x14ac:dyDescent="0.25">
      <c r="A248" s="3">
        <v>175</v>
      </c>
      <c r="B248" s="3"/>
      <c r="C248" s="10"/>
      <c r="D248" s="3"/>
      <c r="E248" s="3"/>
      <c r="F248" s="11"/>
      <c r="G248" s="3"/>
    </row>
    <row r="249" spans="1:7" ht="18" customHeight="1" x14ac:dyDescent="0.25">
      <c r="A249" s="3">
        <v>176</v>
      </c>
      <c r="B249" s="3"/>
      <c r="C249" s="10"/>
      <c r="D249" s="3"/>
      <c r="E249" s="3"/>
      <c r="F249" s="11"/>
      <c r="G249" s="3"/>
    </row>
    <row r="250" spans="1:7" ht="18" customHeight="1" x14ac:dyDescent="0.25">
      <c r="A250" s="3">
        <v>177</v>
      </c>
      <c r="B250" s="3"/>
      <c r="C250" s="10"/>
      <c r="D250" s="3"/>
      <c r="E250" s="3"/>
      <c r="F250" s="11"/>
      <c r="G250" s="3"/>
    </row>
    <row r="251" spans="1:7" ht="18" customHeight="1" x14ac:dyDescent="0.25">
      <c r="A251" s="3">
        <v>178</v>
      </c>
      <c r="B251" s="3"/>
      <c r="C251" s="10"/>
      <c r="D251" s="3"/>
      <c r="E251" s="3"/>
      <c r="F251" s="11"/>
      <c r="G251" s="3"/>
    </row>
    <row r="252" spans="1:7" ht="18" customHeight="1" x14ac:dyDescent="0.25">
      <c r="A252" s="3">
        <v>179</v>
      </c>
      <c r="B252" s="3"/>
      <c r="C252" s="10"/>
      <c r="D252" s="3"/>
      <c r="E252" s="3"/>
      <c r="F252" s="11"/>
      <c r="G252" s="3"/>
    </row>
    <row r="253" spans="1:7" ht="18" customHeight="1" x14ac:dyDescent="0.25">
      <c r="A253" s="3">
        <v>180</v>
      </c>
      <c r="B253" s="3"/>
      <c r="C253" s="10"/>
      <c r="D253" s="3"/>
      <c r="E253" s="3"/>
      <c r="F253" s="11"/>
      <c r="G253" s="3"/>
    </row>
    <row r="254" spans="1:7" ht="18" customHeight="1" x14ac:dyDescent="0.25">
      <c r="A254" s="3">
        <v>181</v>
      </c>
      <c r="B254" s="3"/>
      <c r="C254" s="10"/>
      <c r="D254" s="3"/>
      <c r="E254" s="3"/>
      <c r="F254" s="11"/>
      <c r="G254" s="3"/>
    </row>
    <row r="255" spans="1:7" ht="18" customHeight="1" x14ac:dyDescent="0.25">
      <c r="A255" s="3">
        <v>182</v>
      </c>
      <c r="B255" s="3"/>
      <c r="C255" s="10"/>
      <c r="D255" s="3"/>
      <c r="E255" s="3"/>
      <c r="F255" s="11"/>
      <c r="G255" s="3"/>
    </row>
    <row r="256" spans="1:7" ht="18" customHeight="1" x14ac:dyDescent="0.25">
      <c r="A256" s="3">
        <v>183</v>
      </c>
      <c r="B256" s="3"/>
      <c r="C256" s="10"/>
      <c r="D256" s="3"/>
      <c r="E256" s="3"/>
      <c r="F256" s="11"/>
      <c r="G256" s="3"/>
    </row>
    <row r="257" spans="1:7" ht="18" customHeight="1" x14ac:dyDescent="0.25">
      <c r="A257" s="3">
        <v>184</v>
      </c>
      <c r="B257" s="3"/>
      <c r="C257" s="10"/>
      <c r="D257" s="3"/>
      <c r="E257" s="3"/>
      <c r="F257" s="11"/>
      <c r="G257" s="3"/>
    </row>
    <row r="258" spans="1:7" ht="18" customHeight="1" x14ac:dyDescent="0.25">
      <c r="A258" s="3">
        <v>185</v>
      </c>
      <c r="B258" s="3"/>
      <c r="C258" s="10"/>
      <c r="D258" s="3"/>
      <c r="E258" s="3"/>
      <c r="F258" s="11"/>
      <c r="G258" s="3"/>
    </row>
    <row r="259" spans="1:7" ht="18" customHeight="1" x14ac:dyDescent="0.25">
      <c r="A259" s="3">
        <v>186</v>
      </c>
      <c r="B259" s="3"/>
      <c r="C259" s="10"/>
      <c r="D259" s="3"/>
      <c r="E259" s="3"/>
      <c r="F259" s="11"/>
      <c r="G259" s="3"/>
    </row>
    <row r="260" spans="1:7" ht="18" customHeight="1" x14ac:dyDescent="0.25">
      <c r="A260" s="3">
        <v>187</v>
      </c>
      <c r="B260" s="3"/>
      <c r="C260" s="10"/>
      <c r="D260" s="3"/>
      <c r="E260" s="3"/>
      <c r="F260" s="11"/>
      <c r="G260" s="3"/>
    </row>
    <row r="261" spans="1:7" ht="18" customHeight="1" x14ac:dyDescent="0.25">
      <c r="A261" s="3">
        <v>188</v>
      </c>
      <c r="B261" s="3"/>
      <c r="C261" s="10"/>
      <c r="D261" s="3"/>
      <c r="E261" s="3"/>
      <c r="F261" s="11"/>
      <c r="G261" s="3"/>
    </row>
    <row r="262" spans="1:7" ht="18" customHeight="1" x14ac:dyDescent="0.25">
      <c r="A262" s="3">
        <v>189</v>
      </c>
      <c r="B262" s="3"/>
      <c r="C262" s="10"/>
      <c r="D262" s="3"/>
      <c r="E262" s="3"/>
      <c r="F262" s="11"/>
      <c r="G262" s="3"/>
    </row>
    <row r="263" spans="1:7" ht="18" customHeight="1" x14ac:dyDescent="0.25">
      <c r="A263" s="3">
        <v>190</v>
      </c>
      <c r="B263" s="3"/>
      <c r="C263" s="10"/>
      <c r="D263" s="3"/>
      <c r="E263" s="3"/>
      <c r="F263" s="11"/>
      <c r="G263" s="3"/>
    </row>
    <row r="264" spans="1:7" ht="18" customHeight="1" x14ac:dyDescent="0.25">
      <c r="A264" s="3">
        <v>191</v>
      </c>
      <c r="B264" s="3"/>
      <c r="C264" s="10"/>
      <c r="D264" s="3"/>
      <c r="E264" s="3"/>
      <c r="F264" s="11"/>
      <c r="G264" s="3"/>
    </row>
    <row r="265" spans="1:7" ht="18" customHeight="1" x14ac:dyDescent="0.25">
      <c r="A265" s="3">
        <v>192</v>
      </c>
      <c r="B265" s="3"/>
      <c r="C265" s="10"/>
      <c r="D265" s="3"/>
      <c r="E265" s="3"/>
      <c r="F265" s="11"/>
      <c r="G265" s="3"/>
    </row>
    <row r="266" spans="1:7" ht="18" customHeight="1" x14ac:dyDescent="0.25">
      <c r="A266" s="3">
        <v>193</v>
      </c>
      <c r="B266" s="3"/>
      <c r="C266" s="10"/>
      <c r="D266" s="3"/>
      <c r="E266" s="3"/>
      <c r="F266" s="11"/>
      <c r="G266" s="3"/>
    </row>
    <row r="267" spans="1:7" ht="18" customHeight="1" x14ac:dyDescent="0.25">
      <c r="A267" s="3">
        <v>194</v>
      </c>
      <c r="B267" s="3"/>
      <c r="C267" s="10"/>
      <c r="D267" s="3"/>
      <c r="E267" s="3"/>
      <c r="F267" s="11"/>
      <c r="G267" s="3"/>
    </row>
    <row r="268" spans="1:7" ht="18" customHeight="1" x14ac:dyDescent="0.25">
      <c r="A268" s="3">
        <v>195</v>
      </c>
      <c r="B268" s="3"/>
      <c r="C268" s="10"/>
      <c r="D268" s="3"/>
      <c r="E268" s="3"/>
      <c r="F268" s="11"/>
      <c r="G268" s="3"/>
    </row>
    <row r="269" spans="1:7" ht="18" customHeight="1" x14ac:dyDescent="0.25">
      <c r="A269" s="3">
        <v>196</v>
      </c>
      <c r="B269" s="3"/>
      <c r="C269" s="10"/>
      <c r="D269" s="3"/>
      <c r="E269" s="3"/>
      <c r="F269" s="11"/>
      <c r="G269" s="3"/>
    </row>
    <row r="270" spans="1:7" ht="18" customHeight="1" x14ac:dyDescent="0.25">
      <c r="A270" s="3">
        <v>197</v>
      </c>
      <c r="B270" s="3"/>
      <c r="C270" s="10"/>
      <c r="D270" s="3"/>
      <c r="E270" s="3"/>
      <c r="F270" s="11"/>
      <c r="G270" s="3"/>
    </row>
    <row r="271" spans="1:7" ht="18" customHeight="1" x14ac:dyDescent="0.25">
      <c r="A271" s="3">
        <v>198</v>
      </c>
      <c r="B271" s="3"/>
      <c r="C271" s="10"/>
      <c r="D271" s="3"/>
      <c r="E271" s="3"/>
      <c r="F271" s="11"/>
      <c r="G271" s="3"/>
    </row>
    <row r="272" spans="1:7" ht="18" customHeight="1" x14ac:dyDescent="0.25">
      <c r="A272" s="3">
        <v>199</v>
      </c>
      <c r="B272" s="3"/>
      <c r="C272" s="10"/>
      <c r="D272" s="3"/>
      <c r="E272" s="3"/>
      <c r="F272" s="11"/>
      <c r="G272" s="3"/>
    </row>
    <row r="273" spans="1:7" ht="18" customHeight="1" x14ac:dyDescent="0.25">
      <c r="A273" s="3">
        <v>200</v>
      </c>
      <c r="B273" s="3"/>
      <c r="C273" s="10"/>
      <c r="D273" s="3"/>
      <c r="E273" s="3"/>
      <c r="F273" s="11"/>
      <c r="G273" s="3"/>
    </row>
    <row r="274" spans="1:7" ht="33" customHeight="1" x14ac:dyDescent="0.25">
      <c r="A274" s="22" t="str">
        <f>"اجمالى عدد "&amp;COUNTIF(C234:C273,"*")&amp;" شيك بمبلغ"</f>
        <v>اجمالى عدد 0 شيك بمبلغ</v>
      </c>
      <c r="B274" s="23"/>
      <c r="C274" s="23"/>
      <c r="D274" s="24"/>
      <c r="E274" s="13">
        <f>SUM(E233:E273)</f>
        <v>0</v>
      </c>
      <c r="F274" s="25" t="str">
        <f>NoToTxt(E274,"جنيه","قرش")&amp;" لاغير  "</f>
        <v xml:space="preserve">صفر لاغير  </v>
      </c>
      <c r="G274" s="26"/>
    </row>
    <row r="275" spans="1:7" ht="18" customHeight="1" x14ac:dyDescent="0.25">
      <c r="A275" s="21" t="s">
        <v>10013</v>
      </c>
      <c r="B275" s="21"/>
      <c r="C275" s="21"/>
      <c r="D275" s="21"/>
      <c r="E275" s="21"/>
      <c r="F275" s="21"/>
      <c r="G275" s="21"/>
    </row>
    <row r="276" spans="1:7" ht="32.25" customHeight="1" x14ac:dyDescent="0.25">
      <c r="A276" s="27" t="s">
        <v>10014</v>
      </c>
      <c r="B276" s="28"/>
      <c r="C276" s="28"/>
      <c r="D276" s="28"/>
      <c r="E276" s="28"/>
      <c r="F276" s="28"/>
      <c r="G276" s="28"/>
    </row>
    <row r="277" spans="1:7" ht="18" customHeight="1" x14ac:dyDescent="0.25">
      <c r="A277" s="28"/>
      <c r="B277" s="28"/>
      <c r="C277" s="28"/>
      <c r="D277" s="28"/>
      <c r="E277" s="28"/>
      <c r="F277" s="28"/>
      <c r="G277" s="28"/>
    </row>
    <row r="278" spans="1:7" ht="33.75" customHeight="1" x14ac:dyDescent="0.25">
      <c r="A278" s="29" t="str">
        <f>A230</f>
        <v xml:space="preserve"> تابع حافظة شيكات محررة للعملاء طبقاً لموافقة لجنه الائتمان والتمويل المتناهى الصغر المنعقدة في تاريخ </v>
      </c>
      <c r="B278" s="29"/>
      <c r="C278" s="29"/>
      <c r="D278" s="29"/>
      <c r="E278" s="29"/>
      <c r="F278" s="29"/>
      <c r="G278" s="29"/>
    </row>
    <row r="279" spans="1:7" ht="19.5" customHeight="1" x14ac:dyDescent="0.25">
      <c r="A279" s="30" t="str">
        <f>A231</f>
        <v>علي الحساب الجاري رقم / 405033714006  ببنك الأسكندرية فرع اسيوط</v>
      </c>
      <c r="B279" s="30"/>
      <c r="C279" s="30"/>
      <c r="D279" s="30"/>
      <c r="E279" s="30"/>
      <c r="F279" s="30"/>
      <c r="G279" s="30"/>
    </row>
    <row r="280" spans="1:7" ht="30" customHeight="1" x14ac:dyDescent="0.25">
      <c r="A280" s="6" t="s">
        <v>10005</v>
      </c>
      <c r="B280" s="6" t="s">
        <v>10006</v>
      </c>
      <c r="C280" s="9" t="s">
        <v>10007</v>
      </c>
      <c r="D280" s="6" t="s">
        <v>10008</v>
      </c>
      <c r="E280" s="6" t="s">
        <v>10009</v>
      </c>
      <c r="F280" s="6" t="s">
        <v>10010</v>
      </c>
      <c r="G280" s="6" t="s">
        <v>10011</v>
      </c>
    </row>
    <row r="281" spans="1:7" ht="30" customHeight="1" x14ac:dyDescent="0.25">
      <c r="A281" s="22" t="s">
        <v>10596</v>
      </c>
      <c r="B281" s="23"/>
      <c r="C281" s="23"/>
      <c r="D281" s="24"/>
      <c r="E281" s="14">
        <f>E274</f>
        <v>0</v>
      </c>
      <c r="F281" s="25" t="str">
        <f>NoToTxt(E281,"جنيه","قرش")&amp;" لاغير  "</f>
        <v xml:space="preserve">صفر لاغير  </v>
      </c>
      <c r="G281" s="26"/>
    </row>
    <row r="282" spans="1:7" ht="18" customHeight="1" x14ac:dyDescent="0.25">
      <c r="A282" s="3">
        <v>201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202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203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204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205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206</v>
      </c>
      <c r="B287" s="3"/>
      <c r="C287" s="10"/>
      <c r="D287" s="3"/>
      <c r="E287" s="3"/>
      <c r="F287" s="3"/>
      <c r="G287" s="3"/>
    </row>
    <row r="288" spans="1:7" ht="18" customHeight="1" x14ac:dyDescent="0.25">
      <c r="A288" s="3">
        <v>207</v>
      </c>
      <c r="B288" s="3"/>
      <c r="C288" s="10"/>
      <c r="D288" s="3"/>
      <c r="E288" s="3"/>
      <c r="F288" s="3"/>
      <c r="G288" s="3"/>
    </row>
    <row r="289" spans="1:7" ht="18" customHeight="1" x14ac:dyDescent="0.25">
      <c r="A289" s="3">
        <v>208</v>
      </c>
      <c r="B289" s="3"/>
      <c r="C289" s="10"/>
      <c r="D289" s="3"/>
      <c r="E289" s="3"/>
      <c r="F289" s="3"/>
      <c r="G289" s="3"/>
    </row>
    <row r="290" spans="1:7" ht="18" customHeight="1" x14ac:dyDescent="0.25">
      <c r="A290" s="3">
        <v>209</v>
      </c>
      <c r="B290" s="3"/>
      <c r="C290" s="10"/>
      <c r="D290" s="3"/>
      <c r="E290" s="3"/>
      <c r="F290" s="3"/>
      <c r="G290" s="3"/>
    </row>
    <row r="291" spans="1:7" ht="18" customHeight="1" x14ac:dyDescent="0.25">
      <c r="A291" s="3">
        <v>210</v>
      </c>
      <c r="B291" s="3"/>
      <c r="C291" s="10"/>
      <c r="D291" s="3"/>
      <c r="E291" s="3"/>
      <c r="F291" s="3"/>
      <c r="G291" s="3"/>
    </row>
    <row r="292" spans="1:7" ht="18" customHeight="1" x14ac:dyDescent="0.25">
      <c r="A292" s="3">
        <v>211</v>
      </c>
      <c r="B292" s="3"/>
      <c r="C292" s="10"/>
      <c r="D292" s="3"/>
      <c r="E292" s="3"/>
      <c r="F292" s="3"/>
      <c r="G292" s="3"/>
    </row>
    <row r="293" spans="1:7" ht="18" customHeight="1" x14ac:dyDescent="0.25">
      <c r="A293" s="3">
        <v>212</v>
      </c>
      <c r="B293" s="3"/>
      <c r="C293" s="10"/>
      <c r="D293" s="3"/>
      <c r="E293" s="3"/>
      <c r="F293" s="3"/>
      <c r="G293" s="3"/>
    </row>
    <row r="294" spans="1:7" ht="18" customHeight="1" x14ac:dyDescent="0.25">
      <c r="A294" s="3">
        <v>213</v>
      </c>
      <c r="B294" s="3"/>
      <c r="C294" s="10"/>
      <c r="D294" s="3"/>
      <c r="E294" s="3"/>
      <c r="F294" s="3"/>
      <c r="G294" s="3"/>
    </row>
    <row r="295" spans="1:7" ht="18" customHeight="1" x14ac:dyDescent="0.25">
      <c r="A295" s="3">
        <v>214</v>
      </c>
      <c r="B295" s="3"/>
      <c r="C295" s="10"/>
      <c r="D295" s="3"/>
      <c r="E295" s="3"/>
      <c r="F295" s="3"/>
      <c r="G295" s="3"/>
    </row>
    <row r="296" spans="1:7" ht="18" customHeight="1" x14ac:dyDescent="0.25">
      <c r="A296" s="3">
        <v>215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216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217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218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219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220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221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222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223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224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225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226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227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228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229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230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231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232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233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234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235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236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237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238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239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240</v>
      </c>
      <c r="B321" s="3"/>
      <c r="C321" s="10"/>
      <c r="D321" s="3"/>
      <c r="E321" s="3"/>
      <c r="F321" s="3"/>
      <c r="G321" s="3"/>
    </row>
    <row r="322" spans="1:7" ht="33" customHeight="1" x14ac:dyDescent="0.25">
      <c r="A322" s="22" t="str">
        <f>"اجمالى عدد "&amp;COUNTIF(C282:C321,"*")&amp;" شيك بمبلغ"</f>
        <v>اجمالى عدد 0 شيك بمبلغ</v>
      </c>
      <c r="B322" s="23"/>
      <c r="C322" s="23"/>
      <c r="D322" s="24"/>
      <c r="E322" s="13">
        <f>SUM(E281:E321)</f>
        <v>0</v>
      </c>
      <c r="F322" s="25" t="str">
        <f>NoToTxt(E322,"جنيه","قرش")&amp;" لاغير  "</f>
        <v xml:space="preserve">صفر لاغير  </v>
      </c>
      <c r="G322" s="26"/>
    </row>
    <row r="323" spans="1:7" ht="18" customHeight="1" x14ac:dyDescent="0.25">
      <c r="A323" s="21" t="s">
        <v>10013</v>
      </c>
      <c r="B323" s="21"/>
      <c r="C323" s="21"/>
      <c r="D323" s="21"/>
      <c r="E323" s="21"/>
      <c r="F323" s="21"/>
      <c r="G323" s="21"/>
    </row>
    <row r="324" spans="1:7" ht="32.25" customHeight="1" x14ac:dyDescent="0.25">
      <c r="A324" s="27" t="s">
        <v>10014</v>
      </c>
      <c r="B324" s="28"/>
      <c r="C324" s="28"/>
      <c r="D324" s="28"/>
      <c r="E324" s="28"/>
      <c r="F324" s="28"/>
      <c r="G324" s="28"/>
    </row>
    <row r="325" spans="1:7" ht="18" customHeight="1" x14ac:dyDescent="0.25">
      <c r="A325" s="28"/>
      <c r="B325" s="28"/>
      <c r="C325" s="28"/>
      <c r="D325" s="28"/>
      <c r="E325" s="28"/>
      <c r="F325" s="28"/>
      <c r="G325" s="28"/>
    </row>
    <row r="326" spans="1:7" ht="33.75" customHeight="1" x14ac:dyDescent="0.25">
      <c r="A326" s="29" t="str">
        <f>A278</f>
        <v xml:space="preserve"> تابع حافظة شيكات محررة للعملاء طبقاً لموافقة لجنه الائتمان والتمويل المتناهى الصغر المنعقدة في تاريخ </v>
      </c>
      <c r="B326" s="29"/>
      <c r="C326" s="29"/>
      <c r="D326" s="29"/>
      <c r="E326" s="29"/>
      <c r="F326" s="29"/>
      <c r="G326" s="29"/>
    </row>
    <row r="327" spans="1:7" ht="19.5" customHeight="1" x14ac:dyDescent="0.25">
      <c r="A327" s="30" t="str">
        <f>A279</f>
        <v>علي الحساب الجاري رقم / 405033714006  ببنك الأسكندرية فرع اسيوط</v>
      </c>
      <c r="B327" s="30"/>
      <c r="C327" s="30"/>
      <c r="D327" s="30"/>
      <c r="E327" s="30"/>
      <c r="F327" s="30"/>
      <c r="G327" s="30"/>
    </row>
    <row r="328" spans="1:7" ht="30" customHeight="1" x14ac:dyDescent="0.25">
      <c r="A328" s="6" t="s">
        <v>10005</v>
      </c>
      <c r="B328" s="6" t="s">
        <v>10006</v>
      </c>
      <c r="C328" s="9" t="s">
        <v>10007</v>
      </c>
      <c r="D328" s="6" t="s">
        <v>10008</v>
      </c>
      <c r="E328" s="6" t="s">
        <v>10009</v>
      </c>
      <c r="F328" s="6" t="s">
        <v>10010</v>
      </c>
      <c r="G328" s="6" t="s">
        <v>10011</v>
      </c>
    </row>
    <row r="329" spans="1:7" ht="30" customHeight="1" x14ac:dyDescent="0.25">
      <c r="A329" s="22" t="s">
        <v>10597</v>
      </c>
      <c r="B329" s="23"/>
      <c r="C329" s="23"/>
      <c r="D329" s="24"/>
      <c r="E329" s="14">
        <f>E322</f>
        <v>0</v>
      </c>
      <c r="F329" s="25" t="str">
        <f>NoToTxt(E329,"جنيه","قرش")&amp;" لاغير  "</f>
        <v xml:space="preserve">صفر لاغير  </v>
      </c>
      <c r="G329" s="26"/>
    </row>
    <row r="330" spans="1:7" ht="18" customHeight="1" x14ac:dyDescent="0.25">
      <c r="A330" s="3">
        <v>241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242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243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244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245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246</v>
      </c>
      <c r="B335" s="3"/>
      <c r="C335" s="10"/>
      <c r="D335" s="3"/>
      <c r="E335" s="3"/>
      <c r="F335" s="3"/>
      <c r="G335" s="3"/>
    </row>
    <row r="336" spans="1:7" ht="18" customHeight="1" x14ac:dyDescent="0.25">
      <c r="A336" s="3">
        <v>247</v>
      </c>
      <c r="B336" s="3"/>
      <c r="C336" s="10"/>
      <c r="D336" s="3"/>
      <c r="E336" s="3"/>
      <c r="F336" s="3"/>
      <c r="G336" s="3"/>
    </row>
    <row r="337" spans="1:7" ht="18" customHeight="1" x14ac:dyDescent="0.25">
      <c r="A337" s="3">
        <v>248</v>
      </c>
      <c r="B337" s="3"/>
      <c r="C337" s="10"/>
      <c r="D337" s="3"/>
      <c r="E337" s="3"/>
      <c r="F337" s="3"/>
      <c r="G337" s="3"/>
    </row>
    <row r="338" spans="1:7" ht="18" customHeight="1" x14ac:dyDescent="0.25">
      <c r="A338" s="3">
        <v>249</v>
      </c>
      <c r="B338" s="3"/>
      <c r="C338" s="10"/>
      <c r="D338" s="3"/>
      <c r="E338" s="3"/>
      <c r="F338" s="3"/>
      <c r="G338" s="3"/>
    </row>
    <row r="339" spans="1:7" ht="18" customHeight="1" x14ac:dyDescent="0.25">
      <c r="A339" s="3">
        <v>250</v>
      </c>
      <c r="B339" s="3"/>
      <c r="C339" s="10"/>
      <c r="D339" s="3"/>
      <c r="E339" s="3"/>
      <c r="F339" s="3"/>
      <c r="G339" s="3"/>
    </row>
    <row r="340" spans="1:7" ht="18" customHeight="1" x14ac:dyDescent="0.25">
      <c r="A340" s="3">
        <v>251</v>
      </c>
      <c r="B340" s="3"/>
      <c r="C340" s="10"/>
      <c r="D340" s="3"/>
      <c r="E340" s="3"/>
      <c r="F340" s="3"/>
      <c r="G340" s="3"/>
    </row>
    <row r="341" spans="1:7" ht="18" customHeight="1" x14ac:dyDescent="0.25">
      <c r="A341" s="3">
        <v>252</v>
      </c>
      <c r="B341" s="3"/>
      <c r="C341" s="10"/>
      <c r="D341" s="3"/>
      <c r="E341" s="3"/>
      <c r="F341" s="3"/>
      <c r="G341" s="3"/>
    </row>
    <row r="342" spans="1:7" ht="18" customHeight="1" x14ac:dyDescent="0.25">
      <c r="A342" s="3">
        <v>253</v>
      </c>
      <c r="B342" s="3"/>
      <c r="C342" s="10"/>
      <c r="D342" s="3"/>
      <c r="E342" s="3"/>
      <c r="F342" s="3"/>
      <c r="G342" s="3"/>
    </row>
    <row r="343" spans="1:7" ht="18" customHeight="1" x14ac:dyDescent="0.25">
      <c r="A343" s="3">
        <v>254</v>
      </c>
      <c r="B343" s="3"/>
      <c r="C343" s="10"/>
      <c r="D343" s="3"/>
      <c r="E343" s="3"/>
      <c r="F343" s="3"/>
      <c r="G343" s="3"/>
    </row>
    <row r="344" spans="1:7" ht="18" customHeight="1" x14ac:dyDescent="0.25">
      <c r="A344" s="3">
        <v>255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256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257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258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259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260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261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262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263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264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265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266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267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268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269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270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271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272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273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274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275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276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277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278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279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280</v>
      </c>
      <c r="B369" s="3"/>
      <c r="C369" s="10"/>
      <c r="D369" s="3"/>
      <c r="E369" s="3"/>
      <c r="F369" s="3"/>
      <c r="G369" s="3"/>
    </row>
    <row r="370" spans="1:7" ht="33" customHeight="1" x14ac:dyDescent="0.25">
      <c r="A370" s="22" t="str">
        <f>"اجمالى عدد "&amp;COUNTIF(C330:C369,"*")&amp;" شيك بمبلغ"</f>
        <v>اجمالى عدد 0 شيك بمبلغ</v>
      </c>
      <c r="B370" s="23"/>
      <c r="C370" s="23"/>
      <c r="D370" s="24"/>
      <c r="E370" s="13">
        <f>SUM(E329:E369)</f>
        <v>0</v>
      </c>
      <c r="F370" s="25" t="str">
        <f>NoToTxt(E370,"جنيه","قرش")&amp;" لاغير  "</f>
        <v xml:space="preserve">صفر لاغير  </v>
      </c>
      <c r="G370" s="26"/>
    </row>
    <row r="371" spans="1:7" ht="18" customHeight="1" x14ac:dyDescent="0.25">
      <c r="A371" s="21" t="s">
        <v>10013</v>
      </c>
      <c r="B371" s="21"/>
      <c r="C371" s="21"/>
      <c r="D371" s="21"/>
      <c r="E371" s="21"/>
      <c r="F371" s="21"/>
      <c r="G371" s="21"/>
    </row>
    <row r="372" spans="1:7" ht="32.25" customHeight="1" x14ac:dyDescent="0.25">
      <c r="A372" s="27" t="s">
        <v>10014</v>
      </c>
      <c r="B372" s="28"/>
      <c r="C372" s="28"/>
      <c r="D372" s="28"/>
      <c r="E372" s="28"/>
      <c r="F372" s="28"/>
      <c r="G372" s="28"/>
    </row>
    <row r="373" spans="1:7" ht="18" customHeight="1" x14ac:dyDescent="0.25">
      <c r="A373" s="28"/>
      <c r="B373" s="28"/>
      <c r="C373" s="28"/>
      <c r="D373" s="28"/>
      <c r="E373" s="28"/>
      <c r="F373" s="28"/>
      <c r="G373" s="28"/>
    </row>
    <row r="374" spans="1:7" ht="33.75" customHeight="1" x14ac:dyDescent="0.25">
      <c r="A374" s="29" t="str">
        <f>A326</f>
        <v xml:space="preserve"> تابع حافظة شيكات محررة للعملاء طبقاً لموافقة لجنه الائتمان والتمويل المتناهى الصغر المنعقدة في تاريخ </v>
      </c>
      <c r="B374" s="29"/>
      <c r="C374" s="29"/>
      <c r="D374" s="29"/>
      <c r="E374" s="29"/>
      <c r="F374" s="29"/>
      <c r="G374" s="29"/>
    </row>
    <row r="375" spans="1:7" ht="19.5" customHeight="1" x14ac:dyDescent="0.25">
      <c r="A375" s="30" t="str">
        <f>A327</f>
        <v>علي الحساب الجاري رقم / 405033714006  ببنك الأسكندرية فرع اسيوط</v>
      </c>
      <c r="B375" s="30"/>
      <c r="C375" s="30"/>
      <c r="D375" s="30"/>
      <c r="E375" s="30"/>
      <c r="F375" s="30"/>
      <c r="G375" s="30"/>
    </row>
    <row r="376" spans="1:7" ht="30" customHeight="1" x14ac:dyDescent="0.25">
      <c r="A376" s="6" t="s">
        <v>10005</v>
      </c>
      <c r="B376" s="6" t="s">
        <v>10006</v>
      </c>
      <c r="C376" s="9" t="s">
        <v>10007</v>
      </c>
      <c r="D376" s="6" t="s">
        <v>10008</v>
      </c>
      <c r="E376" s="6" t="s">
        <v>10009</v>
      </c>
      <c r="F376" s="6" t="s">
        <v>10010</v>
      </c>
      <c r="G376" s="6" t="s">
        <v>10011</v>
      </c>
    </row>
    <row r="377" spans="1:7" ht="30" customHeight="1" x14ac:dyDescent="0.25">
      <c r="A377" s="22" t="s">
        <v>10598</v>
      </c>
      <c r="B377" s="23"/>
      <c r="C377" s="23"/>
      <c r="D377" s="24"/>
      <c r="E377" s="14">
        <f>E370</f>
        <v>0</v>
      </c>
      <c r="F377" s="25" t="str">
        <f>NoToTxt(E377,"جنيه","قرش")&amp;" لاغير  "</f>
        <v xml:space="preserve">صفر لاغير  </v>
      </c>
      <c r="G377" s="26"/>
    </row>
    <row r="378" spans="1:7" ht="18" customHeight="1" x14ac:dyDescent="0.25">
      <c r="A378" s="3">
        <v>281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282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283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284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285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286</v>
      </c>
      <c r="B383" s="3"/>
      <c r="C383" s="10"/>
      <c r="D383" s="3"/>
      <c r="E383" s="3"/>
      <c r="F383" s="3"/>
      <c r="G383" s="3"/>
    </row>
    <row r="384" spans="1:7" ht="18" customHeight="1" x14ac:dyDescent="0.25">
      <c r="A384" s="3">
        <v>287</v>
      </c>
      <c r="B384" s="3"/>
      <c r="C384" s="10"/>
      <c r="D384" s="3"/>
      <c r="E384" s="3"/>
      <c r="F384" s="3"/>
      <c r="G384" s="3"/>
    </row>
    <row r="385" spans="1:7" ht="18" customHeight="1" x14ac:dyDescent="0.25">
      <c r="A385" s="3">
        <v>288</v>
      </c>
      <c r="B385" s="3"/>
      <c r="C385" s="10"/>
      <c r="D385" s="3"/>
      <c r="E385" s="3"/>
      <c r="F385" s="3"/>
      <c r="G385" s="3"/>
    </row>
    <row r="386" spans="1:7" ht="18" customHeight="1" x14ac:dyDescent="0.25">
      <c r="A386" s="3">
        <v>289</v>
      </c>
      <c r="B386" s="3"/>
      <c r="C386" s="10"/>
      <c r="D386" s="3"/>
      <c r="E386" s="3"/>
      <c r="F386" s="3"/>
      <c r="G386" s="3"/>
    </row>
    <row r="387" spans="1:7" ht="18" customHeight="1" x14ac:dyDescent="0.25">
      <c r="A387" s="3">
        <v>290</v>
      </c>
      <c r="B387" s="3"/>
      <c r="C387" s="10"/>
      <c r="D387" s="3"/>
      <c r="E387" s="3"/>
      <c r="F387" s="3"/>
      <c r="G387" s="3"/>
    </row>
    <row r="388" spans="1:7" ht="18" customHeight="1" x14ac:dyDescent="0.25">
      <c r="A388" s="3">
        <v>291</v>
      </c>
      <c r="B388" s="3"/>
      <c r="C388" s="10"/>
      <c r="D388" s="3"/>
      <c r="E388" s="3"/>
      <c r="F388" s="3"/>
      <c r="G388" s="3"/>
    </row>
    <row r="389" spans="1:7" ht="18" customHeight="1" x14ac:dyDescent="0.25">
      <c r="A389" s="3">
        <v>292</v>
      </c>
      <c r="B389" s="3"/>
      <c r="C389" s="10"/>
      <c r="D389" s="3"/>
      <c r="E389" s="3"/>
      <c r="F389" s="3"/>
      <c r="G389" s="3"/>
    </row>
    <row r="390" spans="1:7" ht="18" customHeight="1" x14ac:dyDescent="0.25">
      <c r="A390" s="3">
        <v>293</v>
      </c>
      <c r="B390" s="3"/>
      <c r="C390" s="10"/>
      <c r="D390" s="3"/>
      <c r="E390" s="3"/>
      <c r="F390" s="3"/>
      <c r="G390" s="3"/>
    </row>
    <row r="391" spans="1:7" ht="18" customHeight="1" x14ac:dyDescent="0.25">
      <c r="A391" s="3">
        <v>294</v>
      </c>
      <c r="B391" s="3"/>
      <c r="C391" s="10"/>
      <c r="D391" s="3"/>
      <c r="E391" s="3"/>
      <c r="F391" s="3"/>
      <c r="G391" s="3"/>
    </row>
    <row r="392" spans="1:7" ht="18" customHeight="1" x14ac:dyDescent="0.25">
      <c r="A392" s="3">
        <v>295</v>
      </c>
      <c r="B392" s="3"/>
      <c r="C392" s="10"/>
      <c r="D392" s="3"/>
      <c r="E392" s="3"/>
      <c r="F392" s="3"/>
      <c r="G392" s="3"/>
    </row>
    <row r="393" spans="1:7" ht="18" customHeight="1" x14ac:dyDescent="0.25">
      <c r="A393" s="3">
        <v>296</v>
      </c>
      <c r="B393" s="3"/>
      <c r="C393" s="10"/>
      <c r="D393" s="3"/>
      <c r="E393" s="3"/>
      <c r="F393" s="3"/>
      <c r="G393" s="3"/>
    </row>
    <row r="394" spans="1:7" ht="18" customHeight="1" x14ac:dyDescent="0.25">
      <c r="A394" s="3">
        <v>297</v>
      </c>
      <c r="B394" s="3"/>
      <c r="C394" s="10"/>
      <c r="D394" s="3"/>
      <c r="E394" s="3"/>
      <c r="F394" s="3"/>
      <c r="G394" s="3"/>
    </row>
    <row r="395" spans="1:7" ht="18" customHeight="1" x14ac:dyDescent="0.25">
      <c r="A395" s="3">
        <v>298</v>
      </c>
      <c r="B395" s="3"/>
      <c r="C395" s="10"/>
      <c r="D395" s="3"/>
      <c r="E395" s="3"/>
      <c r="F395" s="3"/>
      <c r="G395" s="3"/>
    </row>
    <row r="396" spans="1:7" ht="18" customHeight="1" x14ac:dyDescent="0.25">
      <c r="A396" s="3">
        <v>299</v>
      </c>
      <c r="B396" s="3"/>
      <c r="C396" s="10"/>
      <c r="D396" s="3"/>
      <c r="E396" s="3"/>
      <c r="F396" s="3"/>
      <c r="G396" s="3"/>
    </row>
    <row r="397" spans="1:7" ht="18" customHeight="1" x14ac:dyDescent="0.25">
      <c r="A397" s="3">
        <v>300</v>
      </c>
      <c r="B397" s="3"/>
      <c r="C397" s="10"/>
      <c r="D397" s="3"/>
      <c r="E397" s="3"/>
      <c r="F397" s="3"/>
      <c r="G397" s="3"/>
    </row>
    <row r="398" spans="1:7" ht="18" customHeight="1" x14ac:dyDescent="0.25">
      <c r="A398" s="3">
        <v>301</v>
      </c>
      <c r="B398" s="3"/>
      <c r="C398" s="10"/>
      <c r="D398" s="3"/>
      <c r="E398" s="3"/>
      <c r="F398" s="3"/>
      <c r="G398" s="3"/>
    </row>
    <row r="399" spans="1:7" ht="18" customHeight="1" x14ac:dyDescent="0.25">
      <c r="A399" s="3">
        <v>302</v>
      </c>
      <c r="B399" s="3"/>
      <c r="C399" s="10"/>
      <c r="D399" s="3"/>
      <c r="E399" s="3"/>
      <c r="F399" s="3"/>
      <c r="G399" s="3"/>
    </row>
    <row r="400" spans="1:7" ht="18" customHeight="1" x14ac:dyDescent="0.25">
      <c r="A400" s="3">
        <v>303</v>
      </c>
      <c r="B400" s="3"/>
      <c r="C400" s="10"/>
      <c r="D400" s="3"/>
      <c r="E400" s="3"/>
      <c r="F400" s="3"/>
      <c r="G400" s="3"/>
    </row>
    <row r="401" spans="1:7" ht="18" customHeight="1" x14ac:dyDescent="0.25">
      <c r="A401" s="3">
        <v>304</v>
      </c>
      <c r="B401" s="3"/>
      <c r="C401" s="10"/>
      <c r="D401" s="3"/>
      <c r="E401" s="3"/>
      <c r="F401" s="3"/>
      <c r="G401" s="3"/>
    </row>
    <row r="402" spans="1:7" ht="18" customHeight="1" x14ac:dyDescent="0.25">
      <c r="A402" s="3">
        <v>305</v>
      </c>
      <c r="B402" s="3"/>
      <c r="C402" s="10"/>
      <c r="D402" s="3"/>
      <c r="E402" s="3"/>
      <c r="F402" s="3"/>
      <c r="G402" s="3"/>
    </row>
    <row r="403" spans="1:7" ht="18" customHeight="1" x14ac:dyDescent="0.25">
      <c r="A403" s="3">
        <v>306</v>
      </c>
      <c r="B403" s="3"/>
      <c r="C403" s="10"/>
      <c r="D403" s="3"/>
      <c r="E403" s="3"/>
      <c r="F403" s="3"/>
      <c r="G403" s="3"/>
    </row>
    <row r="404" spans="1:7" ht="18" customHeight="1" x14ac:dyDescent="0.25">
      <c r="A404" s="3">
        <v>307</v>
      </c>
      <c r="B404" s="3"/>
      <c r="C404" s="10"/>
      <c r="D404" s="3"/>
      <c r="E404" s="3"/>
      <c r="F404" s="3"/>
      <c r="G404" s="3"/>
    </row>
    <row r="405" spans="1:7" ht="18" customHeight="1" x14ac:dyDescent="0.25">
      <c r="A405" s="3">
        <v>308</v>
      </c>
      <c r="B405" s="3"/>
      <c r="C405" s="10"/>
      <c r="D405" s="3"/>
      <c r="E405" s="3"/>
      <c r="F405" s="3"/>
      <c r="G405" s="3"/>
    </row>
    <row r="406" spans="1:7" ht="18" customHeight="1" x14ac:dyDescent="0.25">
      <c r="A406" s="3">
        <v>309</v>
      </c>
      <c r="B406" s="3"/>
      <c r="C406" s="10"/>
      <c r="D406" s="3"/>
      <c r="E406" s="3"/>
      <c r="F406" s="3"/>
      <c r="G406" s="3"/>
    </row>
    <row r="407" spans="1:7" ht="18" customHeight="1" x14ac:dyDescent="0.25">
      <c r="A407" s="3">
        <v>310</v>
      </c>
      <c r="B407" s="3"/>
      <c r="C407" s="10"/>
      <c r="D407" s="3"/>
      <c r="E407" s="3"/>
      <c r="F407" s="3"/>
      <c r="G407" s="3"/>
    </row>
    <row r="408" spans="1:7" ht="18" customHeight="1" x14ac:dyDescent="0.25">
      <c r="A408" s="3">
        <v>311</v>
      </c>
      <c r="B408" s="3"/>
      <c r="C408" s="10"/>
      <c r="D408" s="3"/>
      <c r="E408" s="3"/>
      <c r="F408" s="3"/>
      <c r="G408" s="3"/>
    </row>
    <row r="409" spans="1:7" ht="18" customHeight="1" x14ac:dyDescent="0.25">
      <c r="A409" s="3">
        <v>312</v>
      </c>
      <c r="B409" s="3"/>
      <c r="C409" s="10"/>
      <c r="D409" s="3"/>
      <c r="E409" s="3"/>
      <c r="F409" s="3"/>
      <c r="G409" s="3"/>
    </row>
    <row r="410" spans="1:7" ht="18" customHeight="1" x14ac:dyDescent="0.25">
      <c r="A410" s="3">
        <v>313</v>
      </c>
      <c r="B410" s="3"/>
      <c r="C410" s="10"/>
      <c r="D410" s="3"/>
      <c r="E410" s="3"/>
      <c r="F410" s="3"/>
      <c r="G410" s="3"/>
    </row>
    <row r="411" spans="1:7" ht="18" customHeight="1" x14ac:dyDescent="0.25">
      <c r="A411" s="3">
        <v>314</v>
      </c>
      <c r="B411" s="3"/>
      <c r="C411" s="10"/>
      <c r="D411" s="3"/>
      <c r="E411" s="3"/>
      <c r="F411" s="3"/>
      <c r="G411" s="3"/>
    </row>
    <row r="412" spans="1:7" ht="18" customHeight="1" x14ac:dyDescent="0.25">
      <c r="A412" s="3">
        <v>315</v>
      </c>
      <c r="B412" s="3"/>
      <c r="C412" s="10"/>
      <c r="D412" s="3"/>
      <c r="E412" s="3"/>
      <c r="F412" s="3"/>
      <c r="G412" s="3"/>
    </row>
    <row r="413" spans="1:7" ht="18" customHeight="1" x14ac:dyDescent="0.25">
      <c r="A413" s="3">
        <v>316</v>
      </c>
      <c r="B413" s="3"/>
      <c r="C413" s="10"/>
      <c r="D413" s="3"/>
      <c r="E413" s="3"/>
      <c r="F413" s="3"/>
      <c r="G413" s="3"/>
    </row>
    <row r="414" spans="1:7" ht="18" customHeight="1" x14ac:dyDescent="0.25">
      <c r="A414" s="3">
        <v>317</v>
      </c>
      <c r="B414" s="3"/>
      <c r="C414" s="10"/>
      <c r="D414" s="3"/>
      <c r="E414" s="3"/>
      <c r="F414" s="3"/>
      <c r="G414" s="3"/>
    </row>
    <row r="415" spans="1:7" ht="18" customHeight="1" x14ac:dyDescent="0.25">
      <c r="A415" s="3">
        <v>318</v>
      </c>
      <c r="B415" s="3"/>
      <c r="C415" s="10"/>
      <c r="D415" s="3"/>
      <c r="E415" s="3"/>
      <c r="F415" s="3"/>
      <c r="G415" s="3"/>
    </row>
    <row r="416" spans="1:7" ht="18" customHeight="1" x14ac:dyDescent="0.25">
      <c r="A416" s="3">
        <v>319</v>
      </c>
      <c r="B416" s="3"/>
      <c r="C416" s="10"/>
      <c r="D416" s="3"/>
      <c r="E416" s="3"/>
      <c r="F416" s="3"/>
      <c r="G416" s="3"/>
    </row>
    <row r="417" spans="1:7" ht="18" customHeight="1" x14ac:dyDescent="0.25">
      <c r="A417" s="3">
        <v>320</v>
      </c>
      <c r="B417" s="3"/>
      <c r="C417" s="10"/>
      <c r="D417" s="3"/>
      <c r="E417" s="3"/>
      <c r="F417" s="3"/>
      <c r="G417" s="3"/>
    </row>
    <row r="418" spans="1:7" ht="33" customHeight="1" x14ac:dyDescent="0.25">
      <c r="A418" s="22" t="str">
        <f>"اجمالى عدد "&amp;COUNTIF(C378:C417,"*")&amp;" شيك بمبلغ"</f>
        <v>اجمالى عدد 0 شيك بمبلغ</v>
      </c>
      <c r="B418" s="23"/>
      <c r="C418" s="23"/>
      <c r="D418" s="24"/>
      <c r="E418" s="13">
        <f>SUM(E377:E417)</f>
        <v>0</v>
      </c>
      <c r="F418" s="25" t="str">
        <f>NoToTxt(E418,"جنيه","قرش")&amp;" لاغير  "</f>
        <v xml:space="preserve">صفر لاغير  </v>
      </c>
      <c r="G418" s="26"/>
    </row>
    <row r="419" spans="1:7" ht="18" customHeight="1" x14ac:dyDescent="0.25">
      <c r="A419" s="21" t="s">
        <v>10013</v>
      </c>
      <c r="B419" s="21"/>
      <c r="C419" s="21"/>
      <c r="D419" s="21"/>
      <c r="E419" s="21"/>
      <c r="F419" s="21"/>
      <c r="G419" s="21"/>
    </row>
    <row r="420" spans="1:7" ht="32.25" customHeight="1" x14ac:dyDescent="0.25">
      <c r="A420" s="27" t="s">
        <v>10014</v>
      </c>
      <c r="B420" s="28"/>
      <c r="C420" s="28"/>
      <c r="D420" s="28"/>
      <c r="E420" s="28"/>
      <c r="F420" s="28"/>
      <c r="G420" s="28"/>
    </row>
    <row r="421" spans="1:7" ht="18" customHeight="1" x14ac:dyDescent="0.25">
      <c r="A421" s="28"/>
      <c r="B421" s="28"/>
      <c r="C421" s="28"/>
      <c r="D421" s="28"/>
      <c r="E421" s="28"/>
      <c r="F421" s="28"/>
      <c r="G421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A134:G134"/>
    <mergeCell ref="A135:G135"/>
    <mergeCell ref="A131:G131"/>
    <mergeCell ref="A132:G132"/>
    <mergeCell ref="A130:D130"/>
    <mergeCell ref="F130:G130"/>
    <mergeCell ref="A133:G133"/>
    <mergeCell ref="F185:G185"/>
    <mergeCell ref="A178:D178"/>
    <mergeCell ref="F178:G178"/>
    <mergeCell ref="A179:G179"/>
    <mergeCell ref="A180:G180"/>
    <mergeCell ref="A181:G181"/>
    <mergeCell ref="A182:G182"/>
    <mergeCell ref="A1:C1"/>
    <mergeCell ref="A2:C2"/>
    <mergeCell ref="A6:G6"/>
    <mergeCell ref="A3:C3"/>
    <mergeCell ref="A89:D89"/>
    <mergeCell ref="F89:G89"/>
    <mergeCell ref="A87:G87"/>
    <mergeCell ref="A86:G86"/>
    <mergeCell ref="F1:G1"/>
    <mergeCell ref="A83:G83"/>
    <mergeCell ref="A84:G84"/>
    <mergeCell ref="A85:G85"/>
    <mergeCell ref="B82:D82"/>
    <mergeCell ref="A5:E5"/>
    <mergeCell ref="F82:G82"/>
    <mergeCell ref="A137:D137"/>
    <mergeCell ref="F137:G137"/>
    <mergeCell ref="A275:G275"/>
    <mergeCell ref="A226:D226"/>
    <mergeCell ref="F226:G226"/>
    <mergeCell ref="A227:G227"/>
    <mergeCell ref="A228:G228"/>
    <mergeCell ref="A229:G229"/>
    <mergeCell ref="A230:G230"/>
    <mergeCell ref="A231:G231"/>
    <mergeCell ref="A233:D233"/>
    <mergeCell ref="F233:G233"/>
    <mergeCell ref="A274:D274"/>
    <mergeCell ref="F274:G274"/>
    <mergeCell ref="A183:G183"/>
    <mergeCell ref="A185:D185"/>
    <mergeCell ref="A276:G276"/>
    <mergeCell ref="A277:G277"/>
    <mergeCell ref="A278:G278"/>
    <mergeCell ref="A279:G279"/>
    <mergeCell ref="A281:D281"/>
    <mergeCell ref="F281:G281"/>
    <mergeCell ref="A421:G421"/>
    <mergeCell ref="A372:G372"/>
    <mergeCell ref="A373:G373"/>
    <mergeCell ref="A374:G374"/>
    <mergeCell ref="A375:G375"/>
    <mergeCell ref="A377:D377"/>
    <mergeCell ref="F377:G377"/>
    <mergeCell ref="A418:D418"/>
    <mergeCell ref="F418:G418"/>
    <mergeCell ref="A419:G419"/>
    <mergeCell ref="A420:G420"/>
    <mergeCell ref="A371:G371"/>
    <mergeCell ref="A322:D322"/>
    <mergeCell ref="F322:G322"/>
    <mergeCell ref="A323:G323"/>
    <mergeCell ref="A324:G324"/>
    <mergeCell ref="A325:G325"/>
    <mergeCell ref="A326:G326"/>
    <mergeCell ref="A327:G327"/>
    <mergeCell ref="A329:D329"/>
    <mergeCell ref="F329:G329"/>
    <mergeCell ref="A370:D370"/>
    <mergeCell ref="F370:G370"/>
  </mergeCells>
  <conditionalFormatting sqref="B8:B81">
    <cfRule type="duplicateValues" dxfId="0" priority="1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  <rowBreaks count="7" manualBreakCount="7">
    <brk id="85" max="16383" man="1"/>
    <brk id="133" max="16383" man="1"/>
    <brk id="181" max="16383" man="1"/>
    <brk id="229" max="16383" man="1"/>
    <brk id="277" max="16383" man="1"/>
    <brk id="325" max="16383" man="1"/>
    <brk id="37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7"/>
  <sheetViews>
    <sheetView rightToLeft="1" view="pageBreakPreview" zoomScale="70" zoomScaleNormal="180" zoomScaleSheetLayoutView="70" workbookViewId="0">
      <pane ySplit="7" topLeftCell="A8" activePane="bottomLeft" state="frozen"/>
      <selection pane="bottomLeft" activeCell="B8" sqref="B8"/>
    </sheetView>
  </sheetViews>
  <sheetFormatPr defaultColWidth="9.109375" defaultRowHeight="13.2" x14ac:dyDescent="0.25"/>
  <cols>
    <col min="1" max="1" width="4.44140625" style="15" customWidth="1"/>
    <col min="2" max="2" width="12.33203125" style="15" customWidth="1"/>
    <col min="3" max="3" width="28.109375" style="8" customWidth="1"/>
    <col min="4" max="4" width="19.88671875" style="15" customWidth="1"/>
    <col min="5" max="5" width="16.5546875" style="15" customWidth="1"/>
    <col min="6" max="6" width="25" style="15" customWidth="1"/>
    <col min="7" max="7" width="19.88671875" style="15" customWidth="1"/>
    <col min="8" max="16384" width="9.109375" style="15"/>
  </cols>
  <sheetData>
    <row r="1" spans="1:7" x14ac:dyDescent="0.25">
      <c r="A1" s="31" t="s">
        <v>10004</v>
      </c>
      <c r="B1" s="31"/>
      <c r="C1" s="31"/>
      <c r="F1" s="33" t="str">
        <f>'حافظة شيكات محررة'!F1:G1</f>
        <v>تمويل البنك الاهلى المصرى</v>
      </c>
      <c r="G1" s="31"/>
    </row>
    <row r="2" spans="1:7" x14ac:dyDescent="0.25">
      <c r="A2" s="31" t="s">
        <v>10603</v>
      </c>
      <c r="B2" s="31"/>
      <c r="C2" s="31"/>
    </row>
    <row r="3" spans="1:7" x14ac:dyDescent="0.25">
      <c r="A3" s="33" t="str">
        <f>'حافظة شيكات محررة'!A3:C3</f>
        <v>فرع نجع حمادى</v>
      </c>
      <c r="B3" s="31"/>
      <c r="C3" s="31"/>
    </row>
    <row r="4" spans="1:7" x14ac:dyDescent="0.25">
      <c r="A4" s="16"/>
    </row>
    <row r="5" spans="1:7" ht="33.75" customHeight="1" x14ac:dyDescent="0.25">
      <c r="A5" s="36" t="s">
        <v>10604</v>
      </c>
      <c r="B5" s="36"/>
      <c r="C5" s="36"/>
      <c r="D5" s="36"/>
      <c r="E5" s="36"/>
      <c r="F5" s="19" t="str">
        <f>'حافظة شيكات محررة'!F5</f>
        <v>00/00/0000</v>
      </c>
      <c r="G5" s="18"/>
    </row>
    <row r="6" spans="1:7" ht="19.5" customHeight="1" x14ac:dyDescent="0.25">
      <c r="A6" s="32" t="s">
        <v>10606</v>
      </c>
      <c r="B6" s="32"/>
      <c r="C6" s="32"/>
      <c r="D6" s="32"/>
      <c r="E6" s="32"/>
      <c r="F6" s="32"/>
      <c r="G6" s="32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34" t="str">
        <f>"اجمالى عدد "&amp;COUNTIF(C8:C47,"*")&amp;" شيك بمبلغ"</f>
        <v>اجمالى عدد 0 شيك بمبلغ</v>
      </c>
      <c r="C48" s="34"/>
      <c r="D48" s="35"/>
      <c r="E48" s="13">
        <f>SUM(E8:E47)</f>
        <v>0</v>
      </c>
      <c r="F48" s="25" t="str">
        <f>NoToTxt(E48,"جنيه","قرش")&amp;" لاغير  "</f>
        <v xml:space="preserve">صفر لاغير  </v>
      </c>
      <c r="G48" s="26"/>
      <c r="H48" s="17">
        <f>COUNTIF(C8:C47,"*")</f>
        <v>0</v>
      </c>
    </row>
    <row r="49" spans="1:7" ht="18" customHeight="1" x14ac:dyDescent="0.25">
      <c r="A49" s="21" t="s">
        <v>10601</v>
      </c>
      <c r="B49" s="21"/>
      <c r="C49" s="21"/>
      <c r="D49" s="21"/>
      <c r="E49" s="21"/>
      <c r="F49" s="21"/>
      <c r="G49" s="21"/>
    </row>
    <row r="50" spans="1:7" ht="32.25" customHeight="1" x14ac:dyDescent="0.25">
      <c r="A50" s="27" t="s">
        <v>10014</v>
      </c>
      <c r="B50" s="28"/>
      <c r="C50" s="28"/>
      <c r="D50" s="28"/>
      <c r="E50" s="28"/>
      <c r="F50" s="28"/>
      <c r="G50" s="28"/>
    </row>
    <row r="51" spans="1:7" ht="18" customHeight="1" x14ac:dyDescent="0.25">
      <c r="A51" s="28"/>
      <c r="B51" s="28"/>
      <c r="C51" s="28"/>
      <c r="D51" s="28"/>
      <c r="E51" s="28"/>
      <c r="F51" s="28"/>
      <c r="G51" s="28"/>
    </row>
    <row r="52" spans="1:7" ht="33.75" customHeight="1" x14ac:dyDescent="0.25">
      <c r="A52" s="29" t="str">
        <f>" تابع "&amp;A5</f>
        <v xml:space="preserve"> تابع حافظة شيكات للعملاء ملغاة  بلجنة البت في القروض المنعقدة في تاريخ</v>
      </c>
      <c r="B52" s="29"/>
      <c r="C52" s="29"/>
      <c r="D52" s="29"/>
      <c r="E52" s="29"/>
      <c r="F52" s="29"/>
      <c r="G52" s="29"/>
    </row>
    <row r="53" spans="1:7" ht="19.5" customHeight="1" x14ac:dyDescent="0.25">
      <c r="A53" s="30" t="str">
        <f>A6</f>
        <v>علي الحساب الجاري رقم /  405033714006   ببنك الأسكندرية فرع اسيوط</v>
      </c>
      <c r="B53" s="30"/>
      <c r="C53" s="30"/>
      <c r="D53" s="30"/>
      <c r="E53" s="30"/>
      <c r="F53" s="30"/>
      <c r="G53" s="30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22" t="s">
        <v>10012</v>
      </c>
      <c r="B55" s="23"/>
      <c r="C55" s="23"/>
      <c r="D55" s="24"/>
      <c r="E55" s="14">
        <f>E48</f>
        <v>0</v>
      </c>
      <c r="F55" s="25" t="str">
        <f>NoToTxt(E55,"جنيه","قرش")&amp;" لاغير  "</f>
        <v xml:space="preserve">صفر لاغير  </v>
      </c>
      <c r="G55" s="26"/>
    </row>
    <row r="56" spans="1:7" ht="18" customHeight="1" x14ac:dyDescent="0.25">
      <c r="A56" s="3">
        <v>41</v>
      </c>
      <c r="B56" s="3"/>
      <c r="C56" s="10"/>
      <c r="D56" s="11"/>
      <c r="E56" s="3"/>
      <c r="F56" s="3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3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3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3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3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3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3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3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3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3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3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3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3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3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3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3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3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3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3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3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3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3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3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3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3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3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3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3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3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3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3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3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3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3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3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3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3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3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3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3"/>
      <c r="G95" s="3"/>
    </row>
    <row r="96" spans="1:8" ht="33" customHeight="1" x14ac:dyDescent="0.25">
      <c r="A96" s="37" t="str">
        <f>"اجمالى عدد "&amp;SUM(H48+H96)&amp;" شيك بمبلغ"</f>
        <v>اجمالى عدد 0 شيك بمبلغ</v>
      </c>
      <c r="B96" s="34"/>
      <c r="C96" s="34"/>
      <c r="D96" s="35"/>
      <c r="E96" s="13">
        <f>SUM(E55:E95)</f>
        <v>0</v>
      </c>
      <c r="F96" s="25" t="str">
        <f>NoToTxt(E96,"جنيه","قرش")&amp;" لاغير  "</f>
        <v xml:space="preserve">صفر لاغير  </v>
      </c>
      <c r="G96" s="26"/>
      <c r="H96" s="15">
        <f>COUNTIF(C56:C95,"*")</f>
        <v>0</v>
      </c>
    </row>
    <row r="97" spans="1:7" ht="18" customHeight="1" x14ac:dyDescent="0.25">
      <c r="A97" s="21" t="s">
        <v>10602</v>
      </c>
      <c r="B97" s="21"/>
      <c r="C97" s="21"/>
      <c r="D97" s="21"/>
      <c r="E97" s="21"/>
      <c r="F97" s="21"/>
      <c r="G97" s="21"/>
    </row>
    <row r="98" spans="1:7" ht="32.25" customHeight="1" x14ac:dyDescent="0.25">
      <c r="A98" s="27" t="s">
        <v>10014</v>
      </c>
      <c r="B98" s="28"/>
      <c r="C98" s="28"/>
      <c r="D98" s="28"/>
      <c r="E98" s="28"/>
      <c r="F98" s="28"/>
      <c r="G98" s="28"/>
    </row>
    <row r="99" spans="1:7" ht="18" customHeight="1" x14ac:dyDescent="0.25">
      <c r="A99" s="28"/>
      <c r="B99" s="28"/>
      <c r="C99" s="28"/>
      <c r="D99" s="28"/>
      <c r="E99" s="28"/>
      <c r="F99" s="28"/>
      <c r="G99" s="28"/>
    </row>
    <row r="100" spans="1:7" ht="33.75" customHeight="1" x14ac:dyDescent="0.25">
      <c r="A100" s="29" t="str">
        <f>A52</f>
        <v xml:space="preserve"> تابع حافظة شيكات للعملاء ملغاة  بلجنة البت في القروض المنعقدة في تاريخ</v>
      </c>
      <c r="B100" s="29"/>
      <c r="C100" s="29"/>
      <c r="D100" s="29"/>
      <c r="E100" s="29"/>
      <c r="F100" s="29"/>
      <c r="G100" s="29"/>
    </row>
    <row r="101" spans="1:7" ht="19.5" customHeight="1" x14ac:dyDescent="0.25">
      <c r="A101" s="30" t="str">
        <f>A53</f>
        <v>علي الحساب الجاري رقم /  405033714006   ببنك الأسكندرية فرع اسيوط</v>
      </c>
      <c r="B101" s="30"/>
      <c r="C101" s="30"/>
      <c r="D101" s="30"/>
      <c r="E101" s="30"/>
      <c r="F101" s="30"/>
      <c r="G101" s="30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22" t="s">
        <v>10015</v>
      </c>
      <c r="B103" s="23"/>
      <c r="C103" s="23"/>
      <c r="D103" s="24"/>
      <c r="E103" s="14">
        <f>E96</f>
        <v>0</v>
      </c>
      <c r="F103" s="25" t="str">
        <f>NoToTxt(E103,"جنيه","قرش")&amp;" لاغير  "</f>
        <v xml:space="preserve">صفر لاغير  </v>
      </c>
      <c r="G103" s="26"/>
    </row>
    <row r="104" spans="1:7" ht="18" customHeight="1" x14ac:dyDescent="0.25">
      <c r="A104" s="3">
        <v>81</v>
      </c>
      <c r="B104" s="3"/>
      <c r="C104" s="10"/>
      <c r="D104" s="11"/>
      <c r="E104" s="3"/>
      <c r="F104" s="3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3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3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3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3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3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3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3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3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3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3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3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3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3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3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3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3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3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3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3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3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3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3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3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3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3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3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3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3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3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3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3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3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3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3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3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3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3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3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3"/>
      <c r="G143" s="3"/>
    </row>
    <row r="144" spans="1:7" ht="33" customHeight="1" x14ac:dyDescent="0.25">
      <c r="A144" s="22" t="str">
        <f>"اجمالى عدد "&amp;COUNTIF(C104:C143,"*")&amp;" شيك بمبلغ"</f>
        <v>اجمالى عدد 0 شيك بمبلغ</v>
      </c>
      <c r="B144" s="23"/>
      <c r="C144" s="23"/>
      <c r="D144" s="24"/>
      <c r="E144" s="13">
        <f>SUM(E103:E143)</f>
        <v>0</v>
      </c>
      <c r="F144" s="25" t="str">
        <f>NoToTxt(E144,"جنيه","قرش")&amp;" لاغير  "</f>
        <v xml:space="preserve">صفر لاغير  </v>
      </c>
      <c r="G144" s="26"/>
    </row>
    <row r="145" spans="1:7" ht="18" customHeight="1" x14ac:dyDescent="0.25">
      <c r="A145" s="21" t="s">
        <v>10013</v>
      </c>
      <c r="B145" s="21"/>
      <c r="C145" s="21"/>
      <c r="D145" s="21"/>
      <c r="E145" s="21"/>
      <c r="F145" s="21"/>
      <c r="G145" s="21"/>
    </row>
    <row r="146" spans="1:7" ht="32.25" customHeight="1" x14ac:dyDescent="0.25">
      <c r="A146" s="27" t="s">
        <v>10014</v>
      </c>
      <c r="B146" s="28"/>
      <c r="C146" s="28"/>
      <c r="D146" s="28"/>
      <c r="E146" s="28"/>
      <c r="F146" s="28"/>
      <c r="G146" s="28"/>
    </row>
    <row r="147" spans="1:7" ht="18" customHeight="1" x14ac:dyDescent="0.25">
      <c r="A147" s="28"/>
      <c r="B147" s="28"/>
      <c r="C147" s="28"/>
      <c r="D147" s="28"/>
      <c r="E147" s="28"/>
      <c r="F147" s="28"/>
      <c r="G147" s="28"/>
    </row>
    <row r="148" spans="1:7" ht="33.75" customHeight="1" x14ac:dyDescent="0.25">
      <c r="A148" s="29" t="str">
        <f>A100</f>
        <v xml:space="preserve"> تابع حافظة شيكات للعملاء ملغاة  بلجنة البت في القروض المنعقدة في تاريخ</v>
      </c>
      <c r="B148" s="29"/>
      <c r="C148" s="29"/>
      <c r="D148" s="29"/>
      <c r="E148" s="29"/>
      <c r="F148" s="29"/>
      <c r="G148" s="29"/>
    </row>
    <row r="149" spans="1:7" ht="19.5" customHeight="1" x14ac:dyDescent="0.25">
      <c r="A149" s="30" t="str">
        <f>A101</f>
        <v>علي الحساب الجاري رقم /  405033714006   ببنك الأسكندرية فرع اسيوط</v>
      </c>
      <c r="B149" s="30"/>
      <c r="C149" s="30"/>
      <c r="D149" s="30"/>
      <c r="E149" s="30"/>
      <c r="F149" s="30"/>
      <c r="G149" s="30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22" t="s">
        <v>10594</v>
      </c>
      <c r="B151" s="23"/>
      <c r="C151" s="23"/>
      <c r="D151" s="24"/>
      <c r="E151" s="14">
        <f>E144</f>
        <v>0</v>
      </c>
      <c r="F151" s="25" t="str">
        <f>NoToTxt(E151,"جنيه","قرش")&amp;" لاغير  "</f>
        <v xml:space="preserve">صفر لاغير  </v>
      </c>
      <c r="G151" s="26"/>
    </row>
    <row r="152" spans="1:7" ht="18" customHeight="1" x14ac:dyDescent="0.25">
      <c r="A152" s="3">
        <v>121</v>
      </c>
      <c r="B152" s="3"/>
      <c r="C152" s="10"/>
      <c r="D152" s="3"/>
      <c r="E152" s="3"/>
      <c r="F152" s="3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3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3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3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3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3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3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3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3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3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3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3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3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3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3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3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3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3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3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3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3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3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3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3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3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3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3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3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3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3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3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3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3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3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3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3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3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3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3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3"/>
      <c r="G191" s="3"/>
    </row>
    <row r="192" spans="1:7" ht="33" customHeight="1" x14ac:dyDescent="0.25">
      <c r="A192" s="22" t="str">
        <f>"اجمالى عدد "&amp;COUNTIF(C152:C191,"*")&amp;" شيك بمبلغ"</f>
        <v>اجمالى عدد 0 شيك بمبلغ</v>
      </c>
      <c r="B192" s="23"/>
      <c r="C192" s="23"/>
      <c r="D192" s="24"/>
      <c r="E192" s="13">
        <f>SUM(E151:E191)</f>
        <v>0</v>
      </c>
      <c r="F192" s="25" t="str">
        <f>NoToTxt(E192,"جنيه","قرش")&amp;" لاغير  "</f>
        <v xml:space="preserve">صفر لاغير  </v>
      </c>
      <c r="G192" s="26"/>
    </row>
    <row r="193" spans="1:7" ht="18" customHeight="1" x14ac:dyDescent="0.25">
      <c r="A193" s="21" t="s">
        <v>10013</v>
      </c>
      <c r="B193" s="21"/>
      <c r="C193" s="21"/>
      <c r="D193" s="21"/>
      <c r="E193" s="21"/>
      <c r="F193" s="21"/>
      <c r="G193" s="21"/>
    </row>
    <row r="194" spans="1:7" ht="32.25" customHeight="1" x14ac:dyDescent="0.25">
      <c r="A194" s="27" t="s">
        <v>10014</v>
      </c>
      <c r="B194" s="28"/>
      <c r="C194" s="28"/>
      <c r="D194" s="28"/>
      <c r="E194" s="28"/>
      <c r="F194" s="28"/>
      <c r="G194" s="28"/>
    </row>
    <row r="195" spans="1:7" ht="18" customHeight="1" x14ac:dyDescent="0.25">
      <c r="A195" s="28"/>
      <c r="B195" s="28"/>
      <c r="C195" s="28"/>
      <c r="D195" s="28"/>
      <c r="E195" s="28"/>
      <c r="F195" s="28"/>
      <c r="G195" s="28"/>
    </row>
    <row r="196" spans="1:7" ht="33.75" customHeight="1" x14ac:dyDescent="0.25">
      <c r="A196" s="29" t="str">
        <f>A148</f>
        <v xml:space="preserve"> تابع حافظة شيكات للعملاء ملغاة  بلجنة البت في القروض المنعقدة في تاريخ</v>
      </c>
      <c r="B196" s="29"/>
      <c r="C196" s="29"/>
      <c r="D196" s="29"/>
      <c r="E196" s="29"/>
      <c r="F196" s="29"/>
      <c r="G196" s="29"/>
    </row>
    <row r="197" spans="1:7" ht="19.5" customHeight="1" x14ac:dyDescent="0.25">
      <c r="A197" s="30" t="str">
        <f>A149</f>
        <v>علي الحساب الجاري رقم /  405033714006   ببنك الأسكندرية فرع اسيوط</v>
      </c>
      <c r="B197" s="30"/>
      <c r="C197" s="30"/>
      <c r="D197" s="30"/>
      <c r="E197" s="30"/>
      <c r="F197" s="30"/>
      <c r="G197" s="30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22" t="s">
        <v>10595</v>
      </c>
      <c r="B199" s="23"/>
      <c r="C199" s="23"/>
      <c r="D199" s="24"/>
      <c r="E199" s="14">
        <f>E192</f>
        <v>0</v>
      </c>
      <c r="F199" s="25" t="str">
        <f>NoToTxt(E199,"جنيه","قرش")&amp;" لاغير  "</f>
        <v xml:space="preserve">صفر لاغير  </v>
      </c>
      <c r="G199" s="26"/>
    </row>
    <row r="200" spans="1:7" ht="18" customHeight="1" x14ac:dyDescent="0.25">
      <c r="A200" s="3">
        <v>161</v>
      </c>
      <c r="B200" s="3"/>
      <c r="C200" s="10"/>
      <c r="D200" s="3"/>
      <c r="E200" s="3"/>
      <c r="F200" s="3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3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3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3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3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3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3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3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3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3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3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3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3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3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3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3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3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3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3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3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3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3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3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3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3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3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3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3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3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3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3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3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3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3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3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3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3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3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3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3"/>
      <c r="G239" s="3"/>
    </row>
    <row r="240" spans="1:7" ht="33" customHeight="1" x14ac:dyDescent="0.25">
      <c r="A240" s="22" t="str">
        <f>"اجمالى عدد "&amp;COUNTIF(C200:C239,"*")&amp;" شيك بمبلغ"</f>
        <v>اجمالى عدد 0 شيك بمبلغ</v>
      </c>
      <c r="B240" s="23"/>
      <c r="C240" s="23"/>
      <c r="D240" s="24"/>
      <c r="E240" s="13">
        <f>SUM(E199:E239)</f>
        <v>0</v>
      </c>
      <c r="F240" s="25" t="str">
        <f>NoToTxt(E240,"جنيه","قرش")&amp;" لاغير  "</f>
        <v xml:space="preserve">صفر لاغير  </v>
      </c>
      <c r="G240" s="26"/>
    </row>
    <row r="241" spans="1:7" ht="18" customHeight="1" x14ac:dyDescent="0.25">
      <c r="A241" s="21" t="s">
        <v>10013</v>
      </c>
      <c r="B241" s="21"/>
      <c r="C241" s="21"/>
      <c r="D241" s="21"/>
      <c r="E241" s="21"/>
      <c r="F241" s="21"/>
      <c r="G241" s="21"/>
    </row>
    <row r="242" spans="1:7" ht="32.25" customHeight="1" x14ac:dyDescent="0.25">
      <c r="A242" s="27" t="s">
        <v>10014</v>
      </c>
      <c r="B242" s="28"/>
      <c r="C242" s="28"/>
      <c r="D242" s="28"/>
      <c r="E242" s="28"/>
      <c r="F242" s="28"/>
      <c r="G242" s="28"/>
    </row>
    <row r="243" spans="1:7" ht="18" customHeight="1" x14ac:dyDescent="0.25">
      <c r="A243" s="28"/>
      <c r="B243" s="28"/>
      <c r="C243" s="28"/>
      <c r="D243" s="28"/>
      <c r="E243" s="28"/>
      <c r="F243" s="28"/>
      <c r="G243" s="28"/>
    </row>
    <row r="244" spans="1:7" ht="33.75" customHeight="1" x14ac:dyDescent="0.25">
      <c r="A244" s="29" t="str">
        <f>A196</f>
        <v xml:space="preserve"> تابع حافظة شيكات للعملاء ملغاة  بلجنة البت في القروض المنعقدة في تاريخ</v>
      </c>
      <c r="B244" s="29"/>
      <c r="C244" s="29"/>
      <c r="D244" s="29"/>
      <c r="E244" s="29"/>
      <c r="F244" s="29"/>
      <c r="G244" s="29"/>
    </row>
    <row r="245" spans="1:7" ht="19.5" customHeight="1" x14ac:dyDescent="0.25">
      <c r="A245" s="30" t="str">
        <f>A197</f>
        <v>علي الحساب الجاري رقم /  405033714006   ببنك الأسكندرية فرع اسيوط</v>
      </c>
      <c r="B245" s="30"/>
      <c r="C245" s="30"/>
      <c r="D245" s="30"/>
      <c r="E245" s="30"/>
      <c r="F245" s="30"/>
      <c r="G245" s="30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22" t="s">
        <v>10596</v>
      </c>
      <c r="B247" s="23"/>
      <c r="C247" s="23"/>
      <c r="D247" s="24"/>
      <c r="E247" s="14">
        <f>E240</f>
        <v>0</v>
      </c>
      <c r="F247" s="25" t="str">
        <f>NoToTxt(E247,"جنيه","قرش")&amp;" لاغير  "</f>
        <v xml:space="preserve">صفر لاغير  </v>
      </c>
      <c r="G247" s="26"/>
    </row>
    <row r="248" spans="1:7" ht="18" customHeight="1" x14ac:dyDescent="0.25">
      <c r="A248" s="3">
        <v>201</v>
      </c>
      <c r="B248" s="3"/>
      <c r="C248" s="10"/>
      <c r="D248" s="3"/>
      <c r="E248" s="3"/>
      <c r="F248" s="3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3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3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3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3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3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3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3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3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3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3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3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3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3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3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3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3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3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3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3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3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3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3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3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3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3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3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3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3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3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3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3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3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3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3"/>
      <c r="G287" s="3"/>
    </row>
    <row r="288" spans="1:7" ht="33" customHeight="1" x14ac:dyDescent="0.25">
      <c r="A288" s="22" t="str">
        <f>"اجمالى عدد "&amp;COUNTIF(C248:C287,"*")&amp;" شيك بمبلغ"</f>
        <v>اجمالى عدد 0 شيك بمبلغ</v>
      </c>
      <c r="B288" s="23"/>
      <c r="C288" s="23"/>
      <c r="D288" s="24"/>
      <c r="E288" s="13">
        <f>SUM(E247:E287)</f>
        <v>0</v>
      </c>
      <c r="F288" s="25" t="str">
        <f>NoToTxt(E288,"جنيه","قرش")&amp;" لاغير  "</f>
        <v xml:space="preserve">صفر لاغير  </v>
      </c>
      <c r="G288" s="26"/>
    </row>
    <row r="289" spans="1:7" ht="18" customHeight="1" x14ac:dyDescent="0.25">
      <c r="A289" s="21" t="s">
        <v>10013</v>
      </c>
      <c r="B289" s="21"/>
      <c r="C289" s="21"/>
      <c r="D289" s="21"/>
      <c r="E289" s="21"/>
      <c r="F289" s="21"/>
      <c r="G289" s="21"/>
    </row>
    <row r="290" spans="1:7" ht="32.25" customHeight="1" x14ac:dyDescent="0.25">
      <c r="A290" s="27" t="s">
        <v>10014</v>
      </c>
      <c r="B290" s="28"/>
      <c r="C290" s="28"/>
      <c r="D290" s="28"/>
      <c r="E290" s="28"/>
      <c r="F290" s="28"/>
      <c r="G290" s="28"/>
    </row>
    <row r="291" spans="1:7" ht="18" customHeight="1" x14ac:dyDescent="0.25">
      <c r="A291" s="28"/>
      <c r="B291" s="28"/>
      <c r="C291" s="28"/>
      <c r="D291" s="28"/>
      <c r="E291" s="28"/>
      <c r="F291" s="28"/>
      <c r="G291" s="28"/>
    </row>
    <row r="292" spans="1:7" ht="33.75" customHeight="1" x14ac:dyDescent="0.25">
      <c r="A292" s="29" t="str">
        <f>A244</f>
        <v xml:space="preserve"> تابع حافظة شيكات للعملاء ملغاة  بلجنة البت في القروض المنعقدة في تاريخ</v>
      </c>
      <c r="B292" s="29"/>
      <c r="C292" s="29"/>
      <c r="D292" s="29"/>
      <c r="E292" s="29"/>
      <c r="F292" s="29"/>
      <c r="G292" s="29"/>
    </row>
    <row r="293" spans="1:7" ht="19.5" customHeight="1" x14ac:dyDescent="0.25">
      <c r="A293" s="30" t="str">
        <f>A245</f>
        <v>علي الحساب الجاري رقم /  405033714006   ببنك الأسكندرية فرع اسيوط</v>
      </c>
      <c r="B293" s="30"/>
      <c r="C293" s="30"/>
      <c r="D293" s="30"/>
      <c r="E293" s="30"/>
      <c r="F293" s="30"/>
      <c r="G293" s="30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22" t="s">
        <v>10597</v>
      </c>
      <c r="B295" s="23"/>
      <c r="C295" s="23"/>
      <c r="D295" s="24"/>
      <c r="E295" s="14">
        <f>E288</f>
        <v>0</v>
      </c>
      <c r="F295" s="25" t="str">
        <f>NoToTxt(E295,"جنيه","قرش")&amp;" لاغير  "</f>
        <v xml:space="preserve">صفر لاغير  </v>
      </c>
      <c r="G295" s="26"/>
    </row>
    <row r="296" spans="1:7" ht="18" customHeight="1" x14ac:dyDescent="0.25">
      <c r="A296" s="3">
        <v>241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3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3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3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3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3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3"/>
      <c r="G335" s="3"/>
    </row>
    <row r="336" spans="1:7" ht="33" customHeight="1" x14ac:dyDescent="0.25">
      <c r="A336" s="22" t="str">
        <f>"اجمالى عدد "&amp;COUNTIF(C296:C335,"*")&amp;" شيك بمبلغ"</f>
        <v>اجمالى عدد 0 شيك بمبلغ</v>
      </c>
      <c r="B336" s="23"/>
      <c r="C336" s="23"/>
      <c r="D336" s="24"/>
      <c r="E336" s="13">
        <f>SUM(E295:E335)</f>
        <v>0</v>
      </c>
      <c r="F336" s="25" t="str">
        <f>NoToTxt(E336,"جنيه","قرش")&amp;" لاغير  "</f>
        <v xml:space="preserve">صفر لاغير  </v>
      </c>
      <c r="G336" s="26"/>
    </row>
    <row r="337" spans="1:7" ht="18" customHeight="1" x14ac:dyDescent="0.25">
      <c r="A337" s="21" t="s">
        <v>10013</v>
      </c>
      <c r="B337" s="21"/>
      <c r="C337" s="21"/>
      <c r="D337" s="21"/>
      <c r="E337" s="21"/>
      <c r="F337" s="21"/>
      <c r="G337" s="21"/>
    </row>
    <row r="338" spans="1:7" ht="32.25" customHeight="1" x14ac:dyDescent="0.25">
      <c r="A338" s="27" t="s">
        <v>10014</v>
      </c>
      <c r="B338" s="28"/>
      <c r="C338" s="28"/>
      <c r="D338" s="28"/>
      <c r="E338" s="28"/>
      <c r="F338" s="28"/>
      <c r="G338" s="28"/>
    </row>
    <row r="339" spans="1:7" ht="18" customHeight="1" x14ac:dyDescent="0.25">
      <c r="A339" s="28"/>
      <c r="B339" s="28"/>
      <c r="C339" s="28"/>
      <c r="D339" s="28"/>
      <c r="E339" s="28"/>
      <c r="F339" s="28"/>
      <c r="G339" s="28"/>
    </row>
    <row r="340" spans="1:7" ht="33.75" customHeight="1" x14ac:dyDescent="0.25">
      <c r="A340" s="29" t="str">
        <f>A292</f>
        <v xml:space="preserve"> تابع حافظة شيكات للعملاء ملغاة  بلجنة البت في القروض المنعقدة في تاريخ</v>
      </c>
      <c r="B340" s="29"/>
      <c r="C340" s="29"/>
      <c r="D340" s="29"/>
      <c r="E340" s="29"/>
      <c r="F340" s="29"/>
      <c r="G340" s="29"/>
    </row>
    <row r="341" spans="1:7" ht="19.5" customHeight="1" x14ac:dyDescent="0.25">
      <c r="A341" s="30" t="str">
        <f>A293</f>
        <v>علي الحساب الجاري رقم /  405033714006   ببنك الأسكندرية فرع اسيوط</v>
      </c>
      <c r="B341" s="30"/>
      <c r="C341" s="30"/>
      <c r="D341" s="30"/>
      <c r="E341" s="30"/>
      <c r="F341" s="30"/>
      <c r="G341" s="30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22" t="s">
        <v>10598</v>
      </c>
      <c r="B343" s="23"/>
      <c r="C343" s="23"/>
      <c r="D343" s="24"/>
      <c r="E343" s="14">
        <f>E336</f>
        <v>0</v>
      </c>
      <c r="F343" s="25" t="str">
        <f>NoToTxt(E343,"جنيه","قرش")&amp;" لاغير  "</f>
        <v xml:space="preserve">صفر لاغير  </v>
      </c>
      <c r="G343" s="26"/>
    </row>
    <row r="344" spans="1:7" ht="18" customHeight="1" x14ac:dyDescent="0.25">
      <c r="A344" s="3">
        <v>281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3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3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3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3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3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3"/>
      <c r="G383" s="3"/>
    </row>
    <row r="384" spans="1:7" ht="33" customHeight="1" x14ac:dyDescent="0.25">
      <c r="A384" s="22" t="str">
        <f>"اجمالى عدد "&amp;COUNTIF(C344:C383,"*")&amp;" شيك بمبلغ"</f>
        <v>اجمالى عدد 0 شيك بمبلغ</v>
      </c>
      <c r="B384" s="23"/>
      <c r="C384" s="23"/>
      <c r="D384" s="24"/>
      <c r="E384" s="13">
        <f>SUM(E343:E383)</f>
        <v>0</v>
      </c>
      <c r="F384" s="25" t="str">
        <f>NoToTxt(E384,"جنيه","قرش")&amp;" لاغير  "</f>
        <v xml:space="preserve">صفر لاغير  </v>
      </c>
      <c r="G384" s="26"/>
    </row>
    <row r="385" spans="1:7" ht="18" customHeight="1" x14ac:dyDescent="0.25">
      <c r="A385" s="21" t="s">
        <v>10013</v>
      </c>
      <c r="B385" s="21"/>
      <c r="C385" s="21"/>
      <c r="D385" s="21"/>
      <c r="E385" s="21"/>
      <c r="F385" s="21"/>
      <c r="G385" s="21"/>
    </row>
    <row r="386" spans="1:7" ht="32.25" customHeight="1" x14ac:dyDescent="0.25">
      <c r="A386" s="27" t="s">
        <v>10014</v>
      </c>
      <c r="B386" s="28"/>
      <c r="C386" s="28"/>
      <c r="D386" s="28"/>
      <c r="E386" s="28"/>
      <c r="F386" s="28"/>
      <c r="G386" s="28"/>
    </row>
    <row r="387" spans="1:7" ht="18" customHeight="1" x14ac:dyDescent="0.25">
      <c r="A387" s="28"/>
      <c r="B387" s="28"/>
      <c r="C387" s="28"/>
      <c r="D387" s="28"/>
      <c r="E387" s="28"/>
      <c r="F387" s="28"/>
      <c r="G387" s="28"/>
    </row>
  </sheetData>
  <mergeCells count="74">
    <mergeCell ref="A386:G386"/>
    <mergeCell ref="A387:G387"/>
    <mergeCell ref="A5:E5"/>
    <mergeCell ref="A341:G341"/>
    <mergeCell ref="A343:D343"/>
    <mergeCell ref="F343:G343"/>
    <mergeCell ref="A384:D384"/>
    <mergeCell ref="F384:G384"/>
    <mergeCell ref="A385:G385"/>
    <mergeCell ref="A336:D336"/>
    <mergeCell ref="F336:G336"/>
    <mergeCell ref="A337:G337"/>
    <mergeCell ref="A338:G338"/>
    <mergeCell ref="A339:G339"/>
    <mergeCell ref="A340:G340"/>
    <mergeCell ref="A290:G290"/>
    <mergeCell ref="A291:G291"/>
    <mergeCell ref="A292:G292"/>
    <mergeCell ref="A293:G293"/>
    <mergeCell ref="A295:D295"/>
    <mergeCell ref="F295:G295"/>
    <mergeCell ref="A289:G289"/>
    <mergeCell ref="A240:D240"/>
    <mergeCell ref="F240:G240"/>
    <mergeCell ref="A241:G241"/>
    <mergeCell ref="A242:G242"/>
    <mergeCell ref="A243:G243"/>
    <mergeCell ref="A244:G244"/>
    <mergeCell ref="A245:G245"/>
    <mergeCell ref="A247:D247"/>
    <mergeCell ref="F247:G247"/>
    <mergeCell ref="A288:D288"/>
    <mergeCell ref="F288:G288"/>
    <mergeCell ref="A194:G194"/>
    <mergeCell ref="A195:G195"/>
    <mergeCell ref="A196:G196"/>
    <mergeCell ref="A197:G197"/>
    <mergeCell ref="A199:D199"/>
    <mergeCell ref="F199:G199"/>
    <mergeCell ref="A193:G193"/>
    <mergeCell ref="A144:D144"/>
    <mergeCell ref="F144:G144"/>
    <mergeCell ref="A145:G145"/>
    <mergeCell ref="A146:G146"/>
    <mergeCell ref="A147:G147"/>
    <mergeCell ref="A148:G148"/>
    <mergeCell ref="A149:G149"/>
    <mergeCell ref="A151:D151"/>
    <mergeCell ref="F151:G151"/>
    <mergeCell ref="A192:D192"/>
    <mergeCell ref="F192:G192"/>
    <mergeCell ref="A98:G98"/>
    <mergeCell ref="A99:G99"/>
    <mergeCell ref="A100:G100"/>
    <mergeCell ref="A101:G101"/>
    <mergeCell ref="A103:D103"/>
    <mergeCell ref="F103:G103"/>
    <mergeCell ref="A97:G97"/>
    <mergeCell ref="B48:D48"/>
    <mergeCell ref="F48:G48"/>
    <mergeCell ref="A49:G49"/>
    <mergeCell ref="A50:G50"/>
    <mergeCell ref="A51:G51"/>
    <mergeCell ref="A52:G52"/>
    <mergeCell ref="A53:G53"/>
    <mergeCell ref="A55:D55"/>
    <mergeCell ref="F55:G55"/>
    <mergeCell ref="A96:D96"/>
    <mergeCell ref="F96:G96"/>
    <mergeCell ref="A1:C1"/>
    <mergeCell ref="F1:G1"/>
    <mergeCell ref="A2:C2"/>
    <mergeCell ref="A3:C3"/>
    <mergeCell ref="A6:G6"/>
  </mergeCells>
  <printOptions horizontalCentered="1"/>
  <pageMargins left="0.19" right="0.18" top="0.56999999999999995" bottom="0.28999999999999998" header="0.3" footer="0.3"/>
  <pageSetup paperSize="9" scale="78" orientation="portrait" r:id="rId1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  <ignoredErrors>
    <ignoredError sqref="F5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حافظة شيكات محررة</vt:lpstr>
      <vt:lpstr>حافظة شيكات ملغاة</vt:lpstr>
      <vt:lpstr>data</vt:lpstr>
      <vt:lpstr>'حافظة شيكات محررة'!Print_Area</vt:lpstr>
      <vt:lpstr>'حافظة شيكات ملغاة'!Print_Area</vt:lpstr>
      <vt:lpstr>'حافظة شيكات محررة'!Print_Titles</vt:lpstr>
      <vt:lpstr>'حافظة شيكات ملغاة'!Print_Titles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Ahly</cp:keywords>
  <cp:lastModifiedBy>Peter</cp:lastModifiedBy>
  <cp:lastPrinted>2020-02-17T13:18:42Z</cp:lastPrinted>
  <dcterms:created xsi:type="dcterms:W3CDTF">2004-03-18T13:46:53Z</dcterms:created>
  <dcterms:modified xsi:type="dcterms:W3CDTF">2022-06-14T08:31:44Z</dcterms:modified>
</cp:coreProperties>
</file>