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<sst xmlns="http://schemas.openxmlformats.org/spreadsheetml/2006/main" count="33" uniqueCount="24">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</sst>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C8" sqref="C8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5</v>
      </c>
      <c r="C2" s="6" t="s">
        <v>6</v>
      </c>
      <c r="D2" s="6" t="s">
        <v>7</v>
      </c>
      <c r="G2" s="13" t="s">
        <v>19</v>
      </c>
      <c r="H2" s="13" t="s">
        <v>5</v>
      </c>
      <c r="I2" s="13" t="s">
        <v>6</v>
      </c>
      <c r="J2" s="15" t="s">
        <v>8</v>
      </c>
      <c r="K2" s="15" t="s">
        <v>18</v>
      </c>
      <c r="L2" s="7" t="s">
        <v>10</v>
      </c>
      <c r="M2" s="7" t="s">
        <v>4</v>
      </c>
      <c r="N2" s="7" t="s">
        <v>9</v>
      </c>
    </row>
    <row r="3" spans="2:15" ht="21" customHeight="1" x14ac:dyDescent="0.3">
      <c r="B3" s="27"/>
      <c r="C3" s="27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158</v>
      </c>
      <c r="K3" s="14">
        <v>164</v>
      </c>
      <c r="L3" s="13">
        <v>161</v>
      </c>
      <c r="M3" s="13">
        <v>148</v>
      </c>
      <c r="N3" s="13">
        <v>154</v>
      </c>
    </row>
    <row r="4" spans="2:15" ht="21" customHeight="1" x14ac:dyDescent="0.3">
      <c r="B4" s="27"/>
      <c r="C4" s="27"/>
      <c r="D4" s="7" t="str">
        <f>K2</f>
        <v>الاسكندرية</v>
      </c>
      <c r="E4" s="12"/>
      <c r="G4" s="7" t="s">
        <v>1</v>
      </c>
      <c r="H4" s="13">
        <v>14001</v>
      </c>
      <c r="I4" s="13">
        <v>100000</v>
      </c>
      <c r="J4" s="14">
        <v>159</v>
      </c>
      <c r="K4" s="14">
        <v>165</v>
      </c>
      <c r="L4" s="13">
        <v>162</v>
      </c>
      <c r="M4" s="13">
        <v>149</v>
      </c>
      <c r="N4" s="13">
        <v>154</v>
      </c>
    </row>
    <row r="5" spans="2:15" ht="21" customHeight="1" x14ac:dyDescent="0.3">
      <c r="B5" s="27" t="s">
        <v>23</v>
      </c>
      <c r="C5" s="27"/>
      <c r="D5" s="7" t="str">
        <f>L2</f>
        <v>الاهلي</v>
      </c>
      <c r="E5" s="12"/>
      <c r="G5" s="7" t="s">
        <v>2</v>
      </c>
      <c r="H5" s="13">
        <v>100001</v>
      </c>
      <c r="I5" s="13">
        <v>266000</v>
      </c>
      <c r="J5" s="14">
        <v>160</v>
      </c>
      <c r="K5" s="14">
        <v>166</v>
      </c>
      <c r="L5" s="13">
        <v>163</v>
      </c>
      <c r="M5" s="13">
        <v>150</v>
      </c>
      <c r="N5" s="13">
        <v>154</v>
      </c>
    </row>
    <row r="6" spans="2:15" ht="21" customHeight="1" x14ac:dyDescent="0.3">
      <c r="B6" s="27"/>
      <c r="C6" s="27"/>
      <c r="D6" s="7" t="str">
        <f>M2</f>
        <v>مصر</v>
      </c>
      <c r="E6" s="12"/>
      <c r="G6" s="7" t="s">
        <v>3</v>
      </c>
      <c r="H6" s="13" t="s">
        <v>11</v>
      </c>
      <c r="I6" s="13" t="s">
        <v>11</v>
      </c>
      <c r="J6" s="14" t="s">
        <v>11</v>
      </c>
      <c r="K6" s="14" t="s">
        <v>11</v>
      </c>
      <c r="L6" s="13" t="s">
        <v>11</v>
      </c>
      <c r="M6" s="13" t="s">
        <v>11</v>
      </c>
      <c r="N6" s="13" t="s">
        <v>11</v>
      </c>
    </row>
    <row r="7" spans="2:15" ht="21" customHeight="1" x14ac:dyDescent="0.3">
      <c r="B7" s="27">
        <v>6000</v>
      </c>
      <c r="C7" s="27">
        <v>35000</v>
      </c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0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6" t="s">
        <v>20</v>
      </c>
      <c r="C9" s="26" t="s">
        <v>21</v>
      </c>
      <c r="D9" s="26" t="s">
        <v>22</v>
      </c>
      <c r="E9" s="26" t="s">
        <v>12</v>
      </c>
    </row>
    <row r="10" spans="2:15" ht="18" x14ac:dyDescent="0.3">
      <c r="B10" s="23">
        <v>49000</v>
      </c>
      <c r="C10" s="28" t="str">
        <f>IFERROR(CHOOSE(MATCH(B10,{6000,14001,100001,266000}),$G$3,$G$4,$G$5,$G$6),"")</f>
        <v>ب</v>
      </c>
      <c r="D10" s="24" t="str">
        <f>IFERROR(VLOOKUP(B10,$B$2:$D$7,3,1),"")</f>
        <v>الاسباني</v>
      </c>
      <c r="E10" s="25">
        <f t="shared" ref="E10:E29" si="0">IFERROR(INDEX($J$3:$N$6,MATCH(C10,$G$3:$G$6,0),MATCH(D10,$J$2:$N$2,0)),"")</f>
        <v>154</v>
      </c>
      <c r="F10" s="11" t="str">
        <f>IF(MAX($B$3:$C$7)&lt;B10,"ERR","OK")</f>
        <v>ERR</v>
      </c>
    </row>
    <row r="11" spans="2:15" ht="18" x14ac:dyDescent="0.3">
      <c r="B11" s="17">
        <v>25000</v>
      </c>
      <c r="C11" s="28" t="str">
        <f>IFERROR(CHOOSE(MATCH(B11,{6000,14001,100001,266000}),$G$3,$G$4,$G$5,$G$6),"")</f>
        <v>ب</v>
      </c>
      <c r="D11" s="18" t="str">
        <f t="shared" ref="D11:D29" si="1">IFERROR(VLOOKUP(B11,$B$2:$D$7,3,1),"")</f>
        <v>الاسباني</v>
      </c>
      <c r="E11" s="19">
        <f t="shared" si="0"/>
        <v>154</v>
      </c>
      <c r="F11" s="11" t="str">
        <f t="shared" ref="F11:F29" si="2">IF(MAX($B$3:$C$7)&lt;B11,"ERR","OK")</f>
        <v>OK</v>
      </c>
    </row>
    <row r="12" spans="2:15" ht="18" x14ac:dyDescent="0.3">
      <c r="B12" s="17">
        <v>50000</v>
      </c>
      <c r="C12" s="28" t="str">
        <f>IFERROR(CHOOSE(MATCH(B12,{6000,14001,100001,266000}),$G$3,$G$4,$G$5,$G$6),"")</f>
        <v>ب</v>
      </c>
      <c r="D12" s="18" t="str">
        <f t="shared" si="1"/>
        <v>الاسباني</v>
      </c>
      <c r="E12" s="19">
        <f t="shared" si="0"/>
        <v>154</v>
      </c>
      <c r="F12" s="11" t="str">
        <f t="shared" si="2"/>
        <v>ERR</v>
      </c>
    </row>
    <row r="13" spans="2:15" ht="18" x14ac:dyDescent="0.3">
      <c r="B13" s="17">
        <v>10000</v>
      </c>
      <c r="C13" s="28" t="str">
        <f>IFERROR(CHOOSE(MATCH(B13,{6000,14001,100001,266000}),$G$3,$G$4,$G$5,$G$6),"")</f>
        <v>أ</v>
      </c>
      <c r="D13" s="18" t="str">
        <f t="shared" si="1"/>
        <v>الاسباني</v>
      </c>
      <c r="E13" s="19">
        <f t="shared" si="0"/>
        <v>154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40000</v>
      </c>
      <c r="C14" s="28" t="str">
        <f>IFERROR(CHOOSE(MATCH(B14,{6000,14001,100001,266000}),$G$3,$G$4,$G$5,$G$6),"")</f>
        <v>ب</v>
      </c>
      <c r="D14" s="18" t="str">
        <f t="shared" si="1"/>
        <v>الاسباني</v>
      </c>
      <c r="E14" s="19">
        <f t="shared" si="0"/>
        <v>154</v>
      </c>
      <c r="F14" s="11" t="str">
        <f t="shared" si="2"/>
        <v>ERR</v>
      </c>
      <c r="G14" s="9"/>
    </row>
    <row r="15" spans="2:15" ht="18" x14ac:dyDescent="0.3">
      <c r="B15" s="17">
        <v>35000</v>
      </c>
      <c r="C15" s="28" t="str">
        <f>IFERROR(CHOOSE(MATCH(B15,{6000,14001,100001,266000}),$G$3,$G$4,$G$5,$G$6),"")</f>
        <v>ب</v>
      </c>
      <c r="D15" s="18" t="str">
        <f t="shared" si="1"/>
        <v>الاسباني</v>
      </c>
      <c r="E15" s="19">
        <f t="shared" si="0"/>
        <v>154</v>
      </c>
      <c r="F15" s="11" t="str">
        <f t="shared" si="2"/>
        <v>OK</v>
      </c>
    </row>
    <row r="16" spans="2:15" ht="18" x14ac:dyDescent="0.3">
      <c r="B16" s="17">
        <v>15000</v>
      </c>
      <c r="C16" s="28" t="str">
        <f>IFERROR(CHOOSE(MATCH(B16,{6000,14001,100001,266000}),$G$3,$G$4,$G$5,$G$6),"")</f>
        <v>ب</v>
      </c>
      <c r="D16" s="18" t="str">
        <f t="shared" si="1"/>
        <v>الاسباني</v>
      </c>
      <c r="E16" s="19">
        <f t="shared" si="0"/>
        <v>154</v>
      </c>
      <c r="F16" s="11" t="str">
        <f t="shared" si="2"/>
        <v>OK</v>
      </c>
    </row>
    <row r="17" spans="2:6" ht="18" x14ac:dyDescent="0.3">
      <c r="B17" s="17">
        <v>40000</v>
      </c>
      <c r="C17" s="28" t="str">
        <f>IFERROR(CHOOSE(MATCH(B17,{6000,14001,100001,266000}),$G$3,$G$4,$G$5,$G$6),"")</f>
        <v>ب</v>
      </c>
      <c r="D17" s="18" t="str">
        <f t="shared" si="1"/>
        <v>الاسباني</v>
      </c>
      <c r="E17" s="19">
        <f t="shared" si="0"/>
        <v>154</v>
      </c>
      <c r="F17" s="11" t="str">
        <f t="shared" si="2"/>
        <v>ERR</v>
      </c>
    </row>
    <row r="18" spans="2:6" ht="18" x14ac:dyDescent="0.3">
      <c r="B18" s="17">
        <v>30000</v>
      </c>
      <c r="C18" s="28" t="str">
        <f>IFERROR(CHOOSE(MATCH(B18,{6000,14001,100001,266000}),$G$3,$G$4,$G$5,$G$6),"")</f>
        <v>ب</v>
      </c>
      <c r="D18" s="18" t="str">
        <f t="shared" si="1"/>
        <v>الاسباني</v>
      </c>
      <c r="E18" s="19">
        <f t="shared" si="0"/>
        <v>154</v>
      </c>
      <c r="F18" s="11" t="str">
        <f t="shared" si="2"/>
        <v>OK</v>
      </c>
    </row>
    <row r="19" spans="2:6" ht="18" x14ac:dyDescent="0.3">
      <c r="B19" s="17"/>
      <c r="C19" s="28" t="str">
        <f>IFERROR(CHOOSE(MATCH(B19,{6000,14001,100001,266000}),$G$3,$G$4,$G$5,$G$6),"")</f>
        <v/>
      </c>
      <c r="D19" s="18" t="str">
        <f t="shared" si="1"/>
        <v/>
      </c>
      <c r="E19" s="19" t="str">
        <f t="shared" si="0"/>
        <v/>
      </c>
      <c r="F19" s="11" t="str">
        <f t="shared" si="2"/>
        <v>OK</v>
      </c>
    </row>
    <row r="20" spans="2:6" ht="18" x14ac:dyDescent="0.3">
      <c r="B20" s="17"/>
      <c r="C20" s="28" t="str">
        <f>IFERROR(CHOOSE(MATCH(B20,{6000,14001,100001,266000}),$G$3,$G$4,$G$5,$G$6),"")</f>
        <v/>
      </c>
      <c r="D20" s="18" t="str">
        <f t="shared" si="1"/>
        <v/>
      </c>
      <c r="E20" s="19" t="str">
        <f t="shared" si="0"/>
        <v/>
      </c>
      <c r="F20" s="11" t="str">
        <f>IF(MAX($B$3:$C$7)&lt;B20,"ERR","OK")</f>
        <v>OK</v>
      </c>
    </row>
    <row r="21" spans="2:6" ht="18" x14ac:dyDescent="0.3">
      <c r="B21" s="17"/>
      <c r="C21" s="28" t="str">
        <f>IFERROR(CHOOSE(MATCH(B21,{6000,14001,100001,266000}),$G$3,$G$4,$G$5,$G$6),"")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8" t="str">
        <f>IFERROR(CHOOSE(MATCH(B22,{6000,14001,100001,266000}),$G$3,$G$4,$G$5,$G$6),"")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8" t="str">
        <f>IFERROR(CHOOSE(MATCH(B23,{6000,14001,100001,266000}),$G$3,$G$4,$G$5,$G$6),"")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8" t="str">
        <f>IFERROR(CHOOSE(MATCH(B24,{6000,14001,100001,266000}),$G$3,$G$4,$G$5,$G$6),"")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8" t="str">
        <f>IFERROR(CHOOSE(MATCH(B25,{6000,14001,100001,266000}),$G$3,$G$4,$G$5,$G$6),"")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8" t="str">
        <f>IFERROR(CHOOSE(MATCH(B26,{6000,14001,100001,266000}),$G$3,$G$4,$G$5,$G$6),"")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8" t="str">
        <f>IFERROR(CHOOSE(MATCH(B27,{6000,14001,100001,266000}),$G$3,$G$4,$G$5,$G$6),"")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8" t="str">
        <f>IFERROR(CHOOSE(MATCH(B28,{6000,14001,100001,266000}),$G$3,$G$4,$G$5,$G$6),"")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8" t="str">
        <f>IFERROR(CHOOSE(MATCH(B29,{6000,14001,100001,266000}),$G$3,$G$4,$G$5,$G$6),"")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29"/>
      <c r="D30" s="10"/>
      <c r="E30" s="10"/>
    </row>
    <row r="31" spans="2:6" ht="18" x14ac:dyDescent="0.35">
      <c r="B31" s="10"/>
      <c r="C31" s="29"/>
      <c r="D31" s="10"/>
      <c r="E31" s="10"/>
    </row>
    <row r="32" spans="2:6" ht="18" x14ac:dyDescent="0.35">
      <c r="B32" s="10"/>
      <c r="C32" s="29"/>
      <c r="D32" s="10"/>
      <c r="E32" s="10"/>
    </row>
    <row r="33" spans="2:5" ht="18" x14ac:dyDescent="0.35">
      <c r="B33" s="10"/>
      <c r="C33" s="29"/>
      <c r="D33" s="10"/>
      <c r="E33" s="10"/>
    </row>
    <row r="34" spans="2:5" ht="18" x14ac:dyDescent="0.35">
      <c r="B34" s="10"/>
      <c r="C34" s="29"/>
      <c r="D34" s="10"/>
      <c r="E34" s="10"/>
    </row>
    <row r="35" spans="2:5" ht="18" x14ac:dyDescent="0.35">
      <c r="B35" s="10"/>
      <c r="C35" s="29"/>
      <c r="D35" s="10"/>
      <c r="E35" s="10"/>
    </row>
    <row r="36" spans="2:5" ht="18" x14ac:dyDescent="0.35">
      <c r="B36" s="10"/>
      <c r="C36" s="29"/>
      <c r="D36" s="10"/>
      <c r="E36" s="10"/>
    </row>
    <row r="37" spans="2:5" ht="18" x14ac:dyDescent="0.35">
      <c r="B37" s="10"/>
      <c r="C37" s="29"/>
      <c r="D37" s="10"/>
      <c r="E37" s="10"/>
    </row>
    <row r="38" spans="2:5" ht="18" x14ac:dyDescent="0.35">
      <c r="B38" s="10"/>
      <c r="C38" s="29"/>
      <c r="D38" s="10"/>
      <c r="E38" s="10"/>
    </row>
    <row r="39" spans="2:5" ht="18" x14ac:dyDescent="0.35">
      <c r="B39" s="10"/>
      <c r="C39" s="29"/>
      <c r="D39" s="10"/>
      <c r="E39" s="10"/>
    </row>
    <row r="40" spans="2:5" ht="18" x14ac:dyDescent="0.35">
      <c r="B40" s="10"/>
      <c r="C40" s="29"/>
      <c r="D40" s="10"/>
      <c r="E40" s="10"/>
    </row>
    <row r="41" spans="2:5" ht="18" x14ac:dyDescent="0.35">
      <c r="B41" s="10"/>
      <c r="C41" s="29"/>
      <c r="D41" s="10"/>
      <c r="E41" s="10"/>
    </row>
    <row r="42" spans="2:5" ht="18" x14ac:dyDescent="0.35">
      <c r="B42" s="10"/>
      <c r="C42" s="29"/>
      <c r="D42" s="10"/>
      <c r="E42" s="10"/>
    </row>
    <row r="43" spans="2:5" ht="18" x14ac:dyDescent="0.35">
      <c r="B43" s="10"/>
      <c r="C43" s="29"/>
      <c r="D43" s="10"/>
      <c r="E43" s="10"/>
    </row>
    <row r="44" spans="2:5" ht="18" x14ac:dyDescent="0.35">
      <c r="B44" s="10"/>
      <c r="C44" s="29"/>
      <c r="D44" s="10"/>
      <c r="E44" s="10"/>
    </row>
    <row r="45" spans="2:5" ht="18" x14ac:dyDescent="0.35">
      <c r="B45" s="10"/>
      <c r="C45" s="29"/>
      <c r="D45" s="10"/>
      <c r="E45" s="10"/>
    </row>
    <row r="46" spans="2:5" ht="18" x14ac:dyDescent="0.35">
      <c r="B46" s="10"/>
      <c r="C46" s="29"/>
      <c r="D46" s="10"/>
      <c r="E46" s="10"/>
    </row>
    <row r="47" spans="2:5" ht="18" x14ac:dyDescent="0.35">
      <c r="B47" s="10"/>
      <c r="C47" s="29"/>
      <c r="D47" s="10"/>
      <c r="E47" s="10"/>
    </row>
    <row r="48" spans="2:5" ht="18" x14ac:dyDescent="0.35">
      <c r="B48" s="10"/>
      <c r="C48" s="29"/>
      <c r="D48" s="10"/>
      <c r="E48" s="10"/>
    </row>
    <row r="49" spans="2:5" ht="18" x14ac:dyDescent="0.35">
      <c r="B49" s="10"/>
      <c r="C49" s="29"/>
      <c r="D49" s="10"/>
      <c r="E49" s="10"/>
    </row>
    <row r="50" spans="2:5" ht="18" x14ac:dyDescent="0.35">
      <c r="B50" s="10"/>
      <c r="C50" s="29"/>
      <c r="D50" s="10"/>
      <c r="E50" s="10"/>
    </row>
    <row r="51" spans="2:5" ht="18" x14ac:dyDescent="0.35">
      <c r="B51" s="10"/>
      <c r="C51" s="29"/>
      <c r="D51" s="10"/>
      <c r="E51" s="10"/>
    </row>
    <row r="52" spans="2:5" ht="18" x14ac:dyDescent="0.35">
      <c r="B52" s="10"/>
      <c r="C52" s="29"/>
      <c r="D52" s="10"/>
      <c r="E52" s="10"/>
    </row>
    <row r="53" spans="2:5" ht="18" x14ac:dyDescent="0.35">
      <c r="B53" s="10"/>
      <c r="C53" s="29"/>
      <c r="D53" s="10"/>
      <c r="E53" s="10"/>
    </row>
    <row r="54" spans="2:5" ht="18" x14ac:dyDescent="0.35">
      <c r="B54" s="10"/>
      <c r="C54" s="29"/>
      <c r="D54" s="10"/>
      <c r="E54" s="10"/>
    </row>
    <row r="55" spans="2:5" ht="18" x14ac:dyDescent="0.35">
      <c r="B55" s="10"/>
      <c r="C55" s="29"/>
      <c r="D55" s="10"/>
      <c r="E55" s="10"/>
    </row>
    <row r="56" spans="2:5" ht="18" x14ac:dyDescent="0.35">
      <c r="B56" s="10"/>
      <c r="C56" s="29"/>
      <c r="D56" s="10"/>
      <c r="E56" s="10"/>
    </row>
    <row r="57" spans="2:5" ht="18" x14ac:dyDescent="0.35">
      <c r="B57" s="10"/>
      <c r="C57" s="29"/>
      <c r="D57" s="10"/>
      <c r="E57" s="10"/>
    </row>
    <row r="58" spans="2:5" ht="18" x14ac:dyDescent="0.35">
      <c r="B58" s="10"/>
      <c r="C58" s="29"/>
      <c r="D58" s="10"/>
      <c r="E58" s="10"/>
    </row>
    <row r="59" spans="2:5" ht="18" x14ac:dyDescent="0.35">
      <c r="B59" s="10"/>
      <c r="C59" s="29"/>
      <c r="D59" s="10"/>
      <c r="E59" s="10"/>
    </row>
    <row r="60" spans="2:5" ht="18" x14ac:dyDescent="0.35">
      <c r="B60" s="10"/>
      <c r="C60" s="29"/>
      <c r="D60" s="10"/>
      <c r="E60" s="10"/>
    </row>
    <row r="61" spans="2:5" ht="18" x14ac:dyDescent="0.35">
      <c r="B61" s="10"/>
      <c r="C61" s="29"/>
      <c r="D61" s="10"/>
      <c r="E61" s="10"/>
    </row>
    <row r="85" spans="4:4" x14ac:dyDescent="0.3">
      <c r="D85" s="16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2025-10-21T10:22:22Z</dcterms:modified>
</cp:coreProperties>
</file>