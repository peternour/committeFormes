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3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<sst xmlns="http://schemas.openxmlformats.org/spreadsheetml/2006/main" count="32" uniqueCount="23">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</sst>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J4" sqref="J4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13" t="s">
        <v>18</v>
      </c>
      <c r="H2" s="13" t="s">
        <v>4</v>
      </c>
      <c r="I2" s="13" t="s">
        <v>5</v>
      </c>
      <c r="J2" s="15" t="s">
        <v>7</v>
      </c>
      <c r="K2" s="15" t="s">
        <v>17</v>
      </c>
      <c r="L2" s="7" t="s">
        <v>9</v>
      </c>
      <c r="M2" s="7" t="s">
        <v>22</v>
      </c>
      <c r="N2" s="7" t="s">
        <v>8</v>
      </c>
    </row>
    <row r="3" spans="2:15" ht="21" customHeight="1" x14ac:dyDescent="0.3">
      <c r="B3" s="27"/>
      <c r="C3" s="27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158</v>
      </c>
      <c r="K3" s="14">
        <v>164</v>
      </c>
      <c r="L3" s="13">
        <v>161</v>
      </c>
      <c r="M3" s="13">
        <v>156</v>
      </c>
      <c r="N3" s="13">
        <v>154</v>
      </c>
    </row>
    <row r="4" spans="2:15" ht="21" customHeight="1" x14ac:dyDescent="0.3">
      <c r="B4" s="27"/>
      <c r="C4" s="27"/>
      <c r="D4" s="7" t="str">
        <f>K2</f>
        <v>الاسكندرية</v>
      </c>
      <c r="E4" s="12"/>
      <c r="G4" s="7" t="s">
        <v>1</v>
      </c>
      <c r="H4" s="13">
        <v>14001</v>
      </c>
      <c r="I4" s="13">
        <v>100000</v>
      </c>
      <c r="J4" s="14">
        <v>159</v>
      </c>
      <c r="K4" s="14">
        <v>165</v>
      </c>
      <c r="L4" s="13">
        <v>162</v>
      </c>
      <c r="M4" s="13">
        <v>156</v>
      </c>
      <c r="N4" s="13">
        <v>154</v>
      </c>
    </row>
    <row r="5" spans="2:15" ht="21" customHeight="1" x14ac:dyDescent="0.3">
      <c r="B5" s="27">
        <v>6000</v>
      </c>
      <c r="C5" s="27">
        <v>100000</v>
      </c>
      <c r="D5" s="7" t="str">
        <f>L2</f>
        <v>الاهلي</v>
      </c>
      <c r="E5" s="12"/>
      <c r="G5" s="7" t="s">
        <v>2</v>
      </c>
      <c r="H5" s="13">
        <v>100001</v>
      </c>
      <c r="I5" s="13">
        <v>266000</v>
      </c>
      <c r="J5" s="14">
        <v>160</v>
      </c>
      <c r="K5" s="14">
        <v>166</v>
      </c>
      <c r="L5" s="13">
        <v>163</v>
      </c>
      <c r="M5" s="13">
        <v>156</v>
      </c>
      <c r="N5" s="13">
        <v>154</v>
      </c>
    </row>
    <row r="6" spans="2:15" ht="21" customHeight="1" x14ac:dyDescent="0.3">
      <c r="B6" s="27"/>
      <c r="C6" s="27">
        <v>663</v>
      </c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14" t="s">
        <v>10</v>
      </c>
      <c r="K6" s="14" t="s">
        <v>10</v>
      </c>
      <c r="L6" s="13" t="s">
        <v>10</v>
      </c>
      <c r="M6" s="13" t="s">
        <v>10</v>
      </c>
      <c r="N6" s="13" t="s">
        <v>10</v>
      </c>
    </row>
    <row r="7" spans="2:15" ht="21" customHeight="1" x14ac:dyDescent="0.3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7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ht="18" x14ac:dyDescent="0.3">
      <c r="B10" s="23">
        <v>50000</v>
      </c>
      <c r="C10" s="28" t="str">
        <f>IFERROR(CHOOSE(MATCH(B10,{6000,14001,100001,266000}),$G$3,$G$4,$G$5,$G$6),"")</f>
        <v>ب</v>
      </c>
      <c r="D10" s="24" t="str">
        <f t="shared" ref="D10:D29" si="0">IFERROR(VLOOKUP(B10,$B$2:$D$7,3,1),"")</f>
        <v>الاهلي</v>
      </c>
      <c r="E10" s="25">
        <f t="shared" ref="E10:E29" si="1">IFERROR(INDEX($J$3:$N$6,MATCH(C10,$G$3:$G$6,0),MATCH(D10,$J$2:$N$2,0)),"")</f>
        <v>162</v>
      </c>
      <c r="F10" s="11" t="str">
        <f t="shared" ref="F10:F29" si="2">IF(MAX($B$3:$C$7)&lt;B10,"ERR","OK")</f>
        <v>OK</v>
      </c>
    </row>
    <row r="11" spans="2:15" ht="18" x14ac:dyDescent="0.3">
      <c r="B11" s="17">
        <v>40000</v>
      </c>
      <c r="C11" s="28" t="str">
        <f>IFERROR(CHOOSE(MATCH(B11,{6000,14001,100001,266000}),$G$3,$G$4,$G$5,$G$6),"")</f>
        <v>ب</v>
      </c>
      <c r="D11" s="18" t="str">
        <f t="shared" si="0"/>
        <v>الاهلي</v>
      </c>
      <c r="E11" s="19">
        <f t="shared" si="1"/>
        <v>162</v>
      </c>
      <c r="F11" s="11" t="str">
        <f t="shared" si="2"/>
        <v>OK</v>
      </c>
    </row>
    <row r="12" spans="2:15" ht="18" x14ac:dyDescent="0.3">
      <c r="B12" s="17">
        <v>50000</v>
      </c>
      <c r="C12" s="28" t="str">
        <f>IFERROR(CHOOSE(MATCH(B12,{6000,14001,100001,266000}),$G$3,$G$4,$G$5,$G$6),"")</f>
        <v>ب</v>
      </c>
      <c r="D12" s="18" t="str">
        <f t="shared" si="0"/>
        <v>الاهلي</v>
      </c>
      <c r="E12" s="19">
        <f t="shared" si="1"/>
        <v>162</v>
      </c>
      <c r="F12" s="11" t="str">
        <f t="shared" si="2"/>
        <v>OK</v>
      </c>
    </row>
    <row r="13" spans="2:15" ht="18" x14ac:dyDescent="0.3">
      <c r="B13" s="17">
        <v>10000</v>
      </c>
      <c r="C13" s="28" t="str">
        <f>IFERROR(CHOOSE(MATCH(B13,{6000,14001,100001,266000}),$G$3,$G$4,$G$5,$G$6),"")</f>
        <v>أ</v>
      </c>
      <c r="D13" s="18" t="str">
        <f t="shared" si="0"/>
        <v>الاهلي</v>
      </c>
      <c r="E13" s="19">
        <f t="shared" si="1"/>
        <v>161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40000</v>
      </c>
      <c r="C14" s="28" t="str">
        <f>IFERROR(CHOOSE(MATCH(B14,{6000,14001,100001,266000}),$G$3,$G$4,$G$5,$G$6),"")</f>
        <v>ب</v>
      </c>
      <c r="D14" s="18" t="str">
        <f t="shared" si="0"/>
        <v>الاهلي</v>
      </c>
      <c r="E14" s="19">
        <f t="shared" si="1"/>
        <v>162</v>
      </c>
      <c r="F14" s="11" t="str">
        <f t="shared" si="2"/>
        <v>OK</v>
      </c>
      <c r="G14" s="9"/>
    </row>
    <row r="15" spans="2:15" ht="18" x14ac:dyDescent="0.3">
      <c r="B15" s="17">
        <v>35000</v>
      </c>
      <c r="C15" s="28" t="str">
        <f>IFERROR(CHOOSE(MATCH(B15,{6000,14001,100001,266000}),$G$3,$G$4,$G$5,$G$6),"")</f>
        <v>ب</v>
      </c>
      <c r="D15" s="18" t="str">
        <f t="shared" si="0"/>
        <v>الاهلي</v>
      </c>
      <c r="E15" s="19">
        <f t="shared" si="1"/>
        <v>162</v>
      </c>
      <c r="F15" s="11" t="str">
        <f t="shared" si="2"/>
        <v>OK</v>
      </c>
    </row>
    <row r="16" spans="2:15" ht="18" x14ac:dyDescent="0.3">
      <c r="B16" s="17">
        <v>15000</v>
      </c>
      <c r="C16" s="28" t="str">
        <f>IFERROR(CHOOSE(MATCH(B16,{6000,14001,100001,266000}),$G$3,$G$4,$G$5,$G$6),"")</f>
        <v>ب</v>
      </c>
      <c r="D16" s="18" t="str">
        <f t="shared" si="0"/>
        <v>الاهلي</v>
      </c>
      <c r="E16" s="19">
        <f t="shared" si="1"/>
        <v>162</v>
      </c>
      <c r="F16" s="11" t="str">
        <f t="shared" si="2"/>
        <v>OK</v>
      </c>
    </row>
    <row r="17" spans="2:6" ht="18" x14ac:dyDescent="0.3">
      <c r="B17" s="17">
        <v>40000</v>
      </c>
      <c r="C17" s="28" t="str">
        <f>IFERROR(CHOOSE(MATCH(B17,{6000,14001,100001,266000}),$G$3,$G$4,$G$5,$G$6),"")</f>
        <v>ب</v>
      </c>
      <c r="D17" s="18" t="str">
        <f t="shared" si="0"/>
        <v>الاهلي</v>
      </c>
      <c r="E17" s="19">
        <f t="shared" si="1"/>
        <v>162</v>
      </c>
      <c r="F17" s="11" t="str">
        <f t="shared" si="2"/>
        <v>OK</v>
      </c>
    </row>
    <row r="18" spans="2:6" ht="18" x14ac:dyDescent="0.3">
      <c r="B18" s="17">
        <v>30000</v>
      </c>
      <c r="C18" s="28" t="str">
        <f>IFERROR(CHOOSE(MATCH(B18,{6000,14001,100001,266000}),$G$3,$G$4,$G$5,$G$6),"")</f>
        <v>ب</v>
      </c>
      <c r="D18" s="18" t="str">
        <f t="shared" si="0"/>
        <v>الاهلي</v>
      </c>
      <c r="E18" s="19">
        <f t="shared" si="1"/>
        <v>162</v>
      </c>
      <c r="F18" s="11" t="str">
        <f t="shared" si="2"/>
        <v>OK</v>
      </c>
    </row>
    <row r="19" spans="2:6" ht="18" x14ac:dyDescent="0.3">
      <c r="B19" s="17">
        <v>25000</v>
      </c>
      <c r="C19" s="28" t="str">
        <f>IFERROR(CHOOSE(MATCH(B19,{6000,14001,100001,266000}),$G$3,$G$4,$G$5,$G$6),"")</f>
        <v>ب</v>
      </c>
      <c r="D19" s="18" t="str">
        <f t="shared" si="0"/>
        <v>الاهلي</v>
      </c>
      <c r="E19" s="19">
        <f t="shared" si="1"/>
        <v>162</v>
      </c>
      <c r="F19" s="11" t="str">
        <f t="shared" si="2"/>
        <v>OK</v>
      </c>
    </row>
    <row r="20" spans="2:6" ht="18" x14ac:dyDescent="0.3">
      <c r="B20" s="17">
        <v>25000</v>
      </c>
      <c r="C20" s="28" t="str">
        <f>IFERROR(CHOOSE(MATCH(B20,{6000,14001,100001,266000}),$G$3,$G$4,$G$5,$G$6),"")</f>
        <v>ب</v>
      </c>
      <c r="D20" s="18" t="str">
        <f t="shared" si="0"/>
        <v>الاهلي</v>
      </c>
      <c r="E20" s="19">
        <f t="shared" si="1"/>
        <v>162</v>
      </c>
      <c r="F20" s="11" t="str">
        <f t="shared" si="2"/>
        <v>OK</v>
      </c>
    </row>
    <row r="21" spans="2:6" ht="18" x14ac:dyDescent="0.3">
      <c r="B21" s="17"/>
      <c r="C21" s="28" t="str">
        <f>IFERROR(CHOOSE(MATCH(B21,{6000,14001,100001,266000}),$G$3,$G$4,$G$5,$G$6),"")</f>
        <v/>
      </c>
      <c r="D21" s="18" t="str">
        <f t="shared" si="0"/>
        <v/>
      </c>
      <c r="E21" s="19" t="str">
        <f t="shared" si="1"/>
        <v/>
      </c>
      <c r="F21" s="11" t="str">
        <f t="shared" si="2"/>
        <v>OK</v>
      </c>
    </row>
    <row r="22" spans="2:6" ht="18" x14ac:dyDescent="0.3">
      <c r="B22" s="17"/>
      <c r="C22" s="28" t="str">
        <f>IFERROR(CHOOSE(MATCH(B22,{6000,14001,100001,266000}),$G$3,$G$4,$G$5,$G$6),"")</f>
        <v/>
      </c>
      <c r="D22" s="18" t="str">
        <f t="shared" si="0"/>
        <v/>
      </c>
      <c r="E22" s="19" t="str">
        <f t="shared" si="1"/>
        <v/>
      </c>
      <c r="F22" s="11" t="str">
        <f t="shared" si="2"/>
        <v>OK</v>
      </c>
    </row>
    <row r="23" spans="2:6" ht="18" x14ac:dyDescent="0.3">
      <c r="B23" s="17"/>
      <c r="C23" s="28" t="str">
        <f>IFERROR(CHOOSE(MATCH(B23,{6000,14001,100001,266000}),$G$3,$G$4,$G$5,$G$6),"")</f>
        <v/>
      </c>
      <c r="D23" s="18" t="str">
        <f t="shared" si="0"/>
        <v/>
      </c>
      <c r="E23" s="19" t="str">
        <f t="shared" si="1"/>
        <v/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0"/>
        <v/>
      </c>
      <c r="E24" s="19" t="str">
        <f t="shared" si="1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0"/>
        <v/>
      </c>
      <c r="E25" s="19" t="str">
        <f t="shared" si="1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0"/>
        <v/>
      </c>
      <c r="E26" s="19" t="str">
        <f t="shared" si="1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0"/>
        <v/>
      </c>
      <c r="E27" s="19" t="str">
        <f t="shared" si="1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0"/>
        <v/>
      </c>
      <c r="E28" s="19" t="str">
        <f t="shared" si="1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0"/>
        <v/>
      </c>
      <c r="E29" s="19" t="str">
        <f t="shared" si="1"/>
        <v/>
      </c>
      <c r="F29" s="11" t="str">
        <f t="shared" si="2"/>
        <v>OK</v>
      </c>
    </row>
    <row r="30" spans="2:6" ht="18" x14ac:dyDescent="0.35"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62" spans="2:5" ht="18" x14ac:dyDescent="0.35">
      <c r="B62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2026-01-20T08:54:22Z</dcterms:modified>
</cp:coreProperties>
</file>