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4500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Sheet1!$A$14:$P$299</definedName>
    <definedName name="From">Sheet1!$B$3:$B$7</definedName>
    <definedName name="To">Sheet1!$C$3:$C$7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11" i="1"/>
  <c r="F12" i="1"/>
  <c r="F13" i="1"/>
  <c r="F14" i="1"/>
  <c r="F15" i="1"/>
  <c r="F16" i="1"/>
  <c r="F17" i="1"/>
  <c r="F18" i="1"/>
  <c r="F19" i="1"/>
  <c r="F10" i="1"/>
  <c r="D11" i="1" l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D10" i="1"/>
  <c r="C10" i="1"/>
  <c r="E27" i="1" l="1"/>
  <c r="E29" i="1"/>
  <c r="E26" i="1"/>
  <c r="E28" i="1"/>
  <c r="E24" i="1"/>
  <c r="E25" i="1"/>
  <c r="E10" i="1"/>
  <c r="E23" i="1"/>
  <c r="E22" i="1"/>
  <c r="E11" i="1"/>
  <c r="E12" i="1"/>
  <c r="E19" i="1"/>
  <c r="E15" i="1"/>
  <c r="E20" i="1"/>
  <c r="E16" i="1"/>
  <c r="E21" i="1"/>
  <c r="E17" i="1"/>
  <c r="E13" i="1"/>
  <c r="E18" i="1"/>
  <c r="E14" i="1"/>
  <c r="D7" i="1"/>
  <c r="D6" i="1"/>
  <c r="D5" i="1"/>
  <c r="D4" i="1"/>
  <c r="D3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F8" i="2" l="1"/>
  <c r="F6" i="2"/>
  <c r="F5" i="2"/>
  <c r="F7" i="2"/>
  <c r="F2" i="2"/>
  <c r="F4" i="2"/>
  <c r="F3" i="2"/>
  <c r="F9" i="2"/>
  <c r="F10" i="2"/>
  <c r="F11" i="2" l="1"/>
</calcChain>
</file>

<file path=xl/sharedStrings.xml><?xml version="1.0" encoding="utf-8"?>
<sst xmlns="http://schemas.openxmlformats.org/spreadsheetml/2006/main" count="32" uniqueCount="23">
  <si>
    <t>أ</t>
  </si>
  <si>
    <t>ب</t>
  </si>
  <si>
    <t>ج</t>
  </si>
  <si>
    <t>د</t>
  </si>
  <si>
    <t>مصر</t>
  </si>
  <si>
    <t>من</t>
  </si>
  <si>
    <t>الي</t>
  </si>
  <si>
    <t>التمويل</t>
  </si>
  <si>
    <t>ايدي</t>
  </si>
  <si>
    <t>الاسباني</t>
  </si>
  <si>
    <t>الاهلي</t>
  </si>
  <si>
    <t>XX</t>
  </si>
  <si>
    <t>الكود</t>
  </si>
  <si>
    <t>م</t>
  </si>
  <si>
    <t xml:space="preserve">اسم العميل </t>
  </si>
  <si>
    <t xml:space="preserve">المبلغ </t>
  </si>
  <si>
    <t>عدد 
الشهور</t>
  </si>
  <si>
    <t>كود
 التمويل</t>
  </si>
  <si>
    <t>الاسكندرية</t>
  </si>
  <si>
    <t>ش</t>
  </si>
  <si>
    <t>المبلغ</t>
  </si>
  <si>
    <t>الشريحة</t>
  </si>
  <si>
    <t>مصدر التمويل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</si>
</sst>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4" fillId="0" borderId="0" xfId="0" applyFont="1" applyProtection="1"/>
    <xf numFmtId="0" fontId="1" fillId="0" borderId="0" xfId="0" applyFont="1" applyAlignment="1" applyProtection="1">
      <alignment horizontal="center" vertical="center"/>
    </xf>
    <xf numFmtId="0" fontId="6" fillId="0" borderId="2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164" fontId="0" fillId="0" borderId="0" xfId="0" applyNumberFormat="1" applyProtection="1"/>
    <xf numFmtId="0" fontId="7" fillId="0" borderId="3" xfId="0" applyFont="1" applyBorder="1" applyAlignment="1" applyProtection="1">
      <alignment horizontal="right" vertical="center" indent="1"/>
      <protection locked="0"/>
    </xf>
    <xf numFmtId="0" fontId="7" fillId="0" borderId="3" xfId="0" applyFont="1" applyBorder="1" applyAlignment="1" applyProtection="1">
      <alignment horizontal="right" vertical="center" indent="1"/>
    </xf>
    <xf numFmtId="0" fontId="8" fillId="0" borderId="3" xfId="0" applyFont="1" applyBorder="1" applyAlignment="1" applyProtection="1">
      <alignment horizontal="right" vertical="center" indent="1"/>
    </xf>
    <xf numFmtId="0" fontId="5" fillId="0" borderId="3" xfId="0" applyFont="1" applyFill="1" applyBorder="1" applyAlignment="1" applyProtection="1">
      <alignment horizontal="right" vertical="center" indent="1"/>
    </xf>
    <xf numFmtId="0" fontId="1" fillId="0" borderId="0" xfId="0" applyFont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right" vertical="center" indent="1"/>
      <protection locked="0"/>
    </xf>
    <xf numFmtId="0" fontId="5" fillId="0" borderId="4" xfId="0" applyFont="1" applyFill="1" applyBorder="1" applyAlignment="1" applyProtection="1">
      <alignment horizontal="right" vertical="center" indent="1"/>
    </xf>
    <xf numFmtId="0" fontId="7" fillId="0" borderId="4" xfId="0" applyFont="1" applyBorder="1" applyAlignment="1" applyProtection="1">
      <alignment horizontal="right" vertical="center" indent="1"/>
    </xf>
    <xf numFmtId="0" fontId="8" fillId="0" borderId="4" xfId="0" applyFont="1" applyBorder="1" applyAlignment="1" applyProtection="1">
      <alignment horizontal="right" vertical="center" indent="1"/>
    </xf>
    <xf numFmtId="0" fontId="9" fillId="3" borderId="1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85"/>
  <sheetViews>
    <sheetView rightToLeft="1" tabSelected="1" zoomScaleNormal="100" workbookViewId="0">
      <selection activeCell="B10" sqref="B10"/>
    </sheetView>
  </sheetViews>
  <sheetFormatPr defaultColWidth="9.109375" defaultRowHeight="14.4" x14ac:dyDescent="0.3"/>
  <cols>
    <col min="1" max="1" width="3.6640625" style="5" customWidth="1"/>
    <col min="2" max="2" width="12.33203125" style="5" customWidth="1"/>
    <col min="3" max="3" width="11.33203125" style="5" bestFit="1" customWidth="1"/>
    <col min="4" max="4" width="16.88671875" style="5" customWidth="1"/>
    <col min="5" max="5" width="15.109375" style="5" customWidth="1"/>
    <col min="6" max="6" width="6.88671875" style="5" customWidth="1"/>
    <col min="7" max="7" width="15.88671875" style="5" customWidth="1"/>
    <col min="8" max="15" width="9.88671875" style="5" customWidth="1"/>
    <col min="16" max="16" width="9.5546875" style="5" customWidth="1"/>
    <col min="17" max="16384" width="9.109375" style="5"/>
  </cols>
  <sheetData>
    <row r="2" spans="2:15" ht="21" customHeight="1" x14ac:dyDescent="0.3">
      <c r="B2" s="7" t="s">
        <v>5</v>
      </c>
      <c r="C2" s="7" t="s">
        <v>6</v>
      </c>
      <c r="D2" s="7" t="s">
        <v>7</v>
      </c>
      <c r="G2" s="14" t="s">
        <v>19</v>
      </c>
      <c r="H2" s="14" t="s">
        <v>5</v>
      </c>
      <c r="I2" s="14" t="s">
        <v>6</v>
      </c>
      <c r="J2" s="16" t="s">
        <v>8</v>
      </c>
      <c r="K2" s="16" t="s">
        <v>18</v>
      </c>
      <c r="L2" s="8" t="s">
        <v>10</v>
      </c>
      <c r="M2" s="8" t="s">
        <v>4</v>
      </c>
      <c r="N2" s="8" t="s">
        <v>9</v>
      </c>
    </row>
    <row r="3" spans="2:15" ht="21" customHeight="1" x14ac:dyDescent="0.3">
      <c r="B3" s="4"/>
      <c r="C3" s="4"/>
      <c r="D3" s="8" t="str">
        <f>J2</f>
        <v>ايدي</v>
      </c>
      <c r="E3" s="13"/>
      <c r="G3" s="8" t="s">
        <v>0</v>
      </c>
      <c r="H3" s="14">
        <v>6000</v>
      </c>
      <c r="I3" s="14">
        <v>14000</v>
      </c>
      <c r="J3" s="15">
        <v>139</v>
      </c>
      <c r="K3" s="15">
        <v>151</v>
      </c>
      <c r="L3" s="14">
        <v>142</v>
      </c>
      <c r="M3" s="14">
        <v>148</v>
      </c>
      <c r="N3" s="14">
        <v>154</v>
      </c>
    </row>
    <row r="4" spans="2:15" ht="21" customHeight="1" x14ac:dyDescent="0.3">
      <c r="B4" s="4"/>
      <c r="C4" s="4"/>
      <c r="D4" s="8" t="str">
        <f>K2</f>
        <v>الاسكندرية</v>
      </c>
      <c r="E4" s="13"/>
      <c r="G4" s="8" t="s">
        <v>1</v>
      </c>
      <c r="H4" s="14">
        <v>14001</v>
      </c>
      <c r="I4" s="14">
        <v>50000</v>
      </c>
      <c r="J4" s="15">
        <v>140</v>
      </c>
      <c r="K4" s="15">
        <v>152</v>
      </c>
      <c r="L4" s="14">
        <v>143</v>
      </c>
      <c r="M4" s="14">
        <v>149</v>
      </c>
      <c r="N4" s="14">
        <v>154</v>
      </c>
    </row>
    <row r="5" spans="2:15" ht="21" customHeight="1" x14ac:dyDescent="0.3">
      <c r="B5" s="4"/>
      <c r="C5" s="4"/>
      <c r="D5" s="8" t="str">
        <f>L2</f>
        <v>الاهلي</v>
      </c>
      <c r="E5" s="13"/>
      <c r="G5" s="8" t="s">
        <v>2</v>
      </c>
      <c r="H5" s="14">
        <v>50001</v>
      </c>
      <c r="I5" s="14">
        <v>150000</v>
      </c>
      <c r="J5" s="15">
        <v>141</v>
      </c>
      <c r="K5" s="15">
        <v>153</v>
      </c>
      <c r="L5" s="14">
        <v>144</v>
      </c>
      <c r="M5" s="14">
        <v>150</v>
      </c>
      <c r="N5" s="14">
        <v>154</v>
      </c>
    </row>
    <row r="6" spans="2:15" ht="21" customHeight="1" x14ac:dyDescent="0.3">
      <c r="B6" s="4"/>
      <c r="C6" s="4"/>
      <c r="D6" s="8" t="str">
        <f>M2</f>
        <v>مصر</v>
      </c>
      <c r="E6" s="13"/>
      <c r="G6" s="8" t="s">
        <v>3</v>
      </c>
      <c r="H6" s="14" t="s">
        <v>11</v>
      </c>
      <c r="I6" s="14" t="s">
        <v>11</v>
      </c>
      <c r="J6" s="15" t="s">
        <v>11</v>
      </c>
      <c r="K6" s="15" t="s">
        <v>11</v>
      </c>
      <c r="L6" s="14" t="s">
        <v>11</v>
      </c>
      <c r="M6" s="14" t="s">
        <v>11</v>
      </c>
      <c r="N6" s="14" t="s">
        <v>11</v>
      </c>
    </row>
    <row r="7" spans="2:15" ht="21" customHeight="1" x14ac:dyDescent="0.3">
      <c r="B7" s="4"/>
      <c r="C7" s="4"/>
      <c r="D7" s="8" t="str">
        <f>N2</f>
        <v>الاسباني</v>
      </c>
      <c r="E7" s="13"/>
      <c r="H7" s="6"/>
      <c r="I7" s="6"/>
      <c r="J7" s="6"/>
      <c r="K7" s="6"/>
      <c r="L7" s="6"/>
      <c r="M7" s="6"/>
      <c r="N7" s="6"/>
      <c r="O7" s="6"/>
    </row>
    <row r="8" spans="2:15" ht="8.25" customHeight="1" x14ac:dyDescent="0.3">
      <c r="B8" s="22"/>
      <c r="C8" s="22"/>
      <c r="D8" s="23"/>
      <c r="E8" s="24"/>
      <c r="H8" s="6"/>
      <c r="I8" s="6"/>
      <c r="J8" s="6"/>
      <c r="K8" s="6"/>
      <c r="L8" s="6"/>
      <c r="M8" s="6"/>
      <c r="N8" s="6"/>
      <c r="O8" s="6"/>
    </row>
    <row r="9" spans="2:15" ht="26.25" customHeight="1" x14ac:dyDescent="0.3">
      <c r="B9" s="29" t="s">
        <v>20</v>
      </c>
      <c r="C9" s="29" t="s">
        <v>21</v>
      </c>
      <c r="D9" s="29" t="s">
        <v>22</v>
      </c>
      <c r="E9" s="29" t="s">
        <v>12</v>
      </c>
    </row>
    <row r="10" spans="2:15" ht="18" x14ac:dyDescent="0.3">
      <c r="B10" s="25"/>
      <c r="C10" s="26" t="str">
        <f>IFERROR(CHOOSE(MATCH(B10,{6000,14001,50001,150001,200001}),$G$3,$G$4,$G$5,$G$6),"")</f>
        <v/>
      </c>
      <c r="D10" s="27" t="str">
        <f>IFERROR(VLOOKUP(B10,$B$2:$D$7,3,1),"")</f>
        <v/>
      </c>
      <c r="E10" s="28" t="str">
        <f t="shared" ref="E10:E29" si="0">IFERROR(INDEX($J$3:$N$6,MATCH(C10,$G$3:$G$6,0),MATCH(D10,$J$2:$N$2,0)),"")</f>
        <v/>
      </c>
      <c r="F10" s="12" t="str">
        <f>IF(MAX($B$3:$C$7)&lt;B10,"ERR","OK")</f>
        <v>OK</v>
      </c>
    </row>
    <row r="11" spans="2:15" ht="18" x14ac:dyDescent="0.3">
      <c r="B11" s="18"/>
      <c r="C11" s="21" t="str">
        <f>IFERROR(CHOOSE(MATCH(B11,{6000,14001,50001,150001,200001}),$G$3,$G$4,$G$5,$G$6),"")</f>
        <v/>
      </c>
      <c r="D11" s="19" t="str">
        <f t="shared" ref="D11:D29" si="1">IFERROR(VLOOKUP(B11,$B$2:$D$7,3,1),"")</f>
        <v/>
      </c>
      <c r="E11" s="20" t="str">
        <f t="shared" si="0"/>
        <v/>
      </c>
      <c r="F11" s="12" t="str">
        <f t="shared" ref="F11:F29" si="2">IF(MAX($B$3:$C$7)&lt;B11,"ERR","OK")</f>
        <v>OK</v>
      </c>
    </row>
    <row r="12" spans="2:15" ht="18" x14ac:dyDescent="0.3">
      <c r="B12" s="18"/>
      <c r="C12" s="21" t="str">
        <f>IFERROR(CHOOSE(MATCH(B12,{6000,14001,50001,150001,200001}),$G$3,$G$4,$G$5,$G$6),"")</f>
        <v/>
      </c>
      <c r="D12" s="19" t="str">
        <f t="shared" si="1"/>
        <v/>
      </c>
      <c r="E12" s="20" t="str">
        <f t="shared" si="0"/>
        <v/>
      </c>
      <c r="F12" s="12" t="str">
        <f t="shared" si="2"/>
        <v>OK</v>
      </c>
    </row>
    <row r="13" spans="2:15" ht="18" x14ac:dyDescent="0.3">
      <c r="B13" s="18"/>
      <c r="C13" s="21" t="str">
        <f>IFERROR(CHOOSE(MATCH(B13,{6000,14001,50001,150001,200001}),$G$3,$G$4,$G$5,$G$6),"")</f>
        <v/>
      </c>
      <c r="D13" s="19" t="str">
        <f t="shared" si="1"/>
        <v/>
      </c>
      <c r="E13" s="20" t="str">
        <f t="shared" si="0"/>
        <v/>
      </c>
      <c r="F13" s="12" t="str">
        <f t="shared" si="2"/>
        <v>OK</v>
      </c>
      <c r="G13" s="12"/>
      <c r="H13" s="12"/>
    </row>
    <row r="14" spans="2:15" s="9" customFormat="1" ht="18" x14ac:dyDescent="0.3">
      <c r="B14" s="18"/>
      <c r="C14" s="21" t="str">
        <f>IFERROR(CHOOSE(MATCH(B14,{6000,14001,50001,150001,200001}),$G$3,$G$4,$G$5,$G$6),"")</f>
        <v/>
      </c>
      <c r="D14" s="19" t="str">
        <f t="shared" si="1"/>
        <v/>
      </c>
      <c r="E14" s="20" t="str">
        <f t="shared" si="0"/>
        <v/>
      </c>
      <c r="F14" s="12" t="str">
        <f t="shared" si="2"/>
        <v>OK</v>
      </c>
      <c r="G14" s="10"/>
    </row>
    <row r="15" spans="2:15" ht="18" x14ac:dyDescent="0.3">
      <c r="B15" s="18"/>
      <c r="C15" s="21" t="str">
        <f>IFERROR(CHOOSE(MATCH(B15,{6000,14001,50001,150001,200001}),$G$3,$G$4,$G$5,$G$6),"")</f>
        <v/>
      </c>
      <c r="D15" s="19" t="str">
        <f t="shared" si="1"/>
        <v/>
      </c>
      <c r="E15" s="20" t="str">
        <f t="shared" si="0"/>
        <v/>
      </c>
      <c r="F15" s="12" t="str">
        <f t="shared" si="2"/>
        <v>OK</v>
      </c>
    </row>
    <row r="16" spans="2:15" ht="18" x14ac:dyDescent="0.3">
      <c r="B16" s="18"/>
      <c r="C16" s="21" t="str">
        <f>IFERROR(CHOOSE(MATCH(B16,{6000,14001,50001,150001,200001}),$G$3,$G$4,$G$5,$G$6),"")</f>
        <v/>
      </c>
      <c r="D16" s="19" t="str">
        <f t="shared" si="1"/>
        <v/>
      </c>
      <c r="E16" s="20" t="str">
        <f t="shared" si="0"/>
        <v/>
      </c>
      <c r="F16" s="12" t="str">
        <f t="shared" si="2"/>
        <v>OK</v>
      </c>
    </row>
    <row r="17" spans="2:6" ht="18" x14ac:dyDescent="0.3">
      <c r="B17" s="18"/>
      <c r="C17" s="21" t="str">
        <f>IFERROR(CHOOSE(MATCH(B17,{6000,14001,50001,150001,200001}),$G$3,$G$4,$G$5,$G$6),"")</f>
        <v/>
      </c>
      <c r="D17" s="19" t="str">
        <f t="shared" si="1"/>
        <v/>
      </c>
      <c r="E17" s="20" t="str">
        <f t="shared" si="0"/>
        <v/>
      </c>
      <c r="F17" s="12" t="str">
        <f t="shared" si="2"/>
        <v>OK</v>
      </c>
    </row>
    <row r="18" spans="2:6" ht="18" x14ac:dyDescent="0.3">
      <c r="B18" s="18"/>
      <c r="C18" s="21" t="str">
        <f>IFERROR(CHOOSE(MATCH(B18,{6000,14001,50001,150001,200001}),$G$3,$G$4,$G$5,$G$6),"")</f>
        <v/>
      </c>
      <c r="D18" s="19" t="str">
        <f t="shared" si="1"/>
        <v/>
      </c>
      <c r="E18" s="20" t="str">
        <f t="shared" si="0"/>
        <v/>
      </c>
      <c r="F18" s="12" t="str">
        <f t="shared" si="2"/>
        <v>OK</v>
      </c>
    </row>
    <row r="19" spans="2:6" ht="18" x14ac:dyDescent="0.3">
      <c r="B19" s="18"/>
      <c r="C19" s="21" t="str">
        <f>IFERROR(CHOOSE(MATCH(B19,{6000,14001,50001,150001,200001}),$G$3,$G$4,$G$5,$G$6),"")</f>
        <v/>
      </c>
      <c r="D19" s="19" t="str">
        <f t="shared" si="1"/>
        <v/>
      </c>
      <c r="E19" s="20" t="str">
        <f t="shared" si="0"/>
        <v/>
      </c>
      <c r="F19" s="12" t="str">
        <f t="shared" si="2"/>
        <v>OK</v>
      </c>
    </row>
    <row r="20" spans="2:6" ht="18" x14ac:dyDescent="0.3">
      <c r="B20" s="18"/>
      <c r="C20" s="21" t="str">
        <f>IFERROR(CHOOSE(MATCH(B20,{6000,14001,50001,150001,200001}),$G$3,$G$4,$G$5,$G$6),"")</f>
        <v/>
      </c>
      <c r="D20" s="19" t="str">
        <f t="shared" si="1"/>
        <v/>
      </c>
      <c r="E20" s="20" t="str">
        <f t="shared" si="0"/>
        <v/>
      </c>
      <c r="F20" s="12" t="str">
        <f>IF(MAX($B$3:$C$7)&lt;B20,"ERR","OK")</f>
        <v>OK</v>
      </c>
    </row>
    <row r="21" spans="2:6" ht="18" x14ac:dyDescent="0.3">
      <c r="B21" s="18"/>
      <c r="C21" s="21" t="str">
        <f>IFERROR(CHOOSE(MATCH(B21,{6000,14001,50001,150001,200001}),$G$3,$G$4,$G$5,$G$6),"")</f>
        <v/>
      </c>
      <c r="D21" s="19" t="str">
        <f t="shared" si="1"/>
        <v/>
      </c>
      <c r="E21" s="20" t="str">
        <f t="shared" si="0"/>
        <v/>
      </c>
      <c r="F21" s="12" t="str">
        <f t="shared" si="2"/>
        <v>OK</v>
      </c>
    </row>
    <row r="22" spans="2:6" ht="18" x14ac:dyDescent="0.3">
      <c r="B22" s="18"/>
      <c r="C22" s="21" t="str">
        <f>IFERROR(CHOOSE(MATCH(B22,{6000,14001,50001,150001,200001}),$G$3,$G$4,$G$5,$G$6),"")</f>
        <v/>
      </c>
      <c r="D22" s="19" t="str">
        <f t="shared" si="1"/>
        <v/>
      </c>
      <c r="E22" s="20" t="str">
        <f t="shared" si="0"/>
        <v/>
      </c>
      <c r="F22" s="12" t="str">
        <f t="shared" si="2"/>
        <v>OK</v>
      </c>
    </row>
    <row r="23" spans="2:6" ht="18" x14ac:dyDescent="0.3">
      <c r="B23" s="18"/>
      <c r="C23" s="21" t="str">
        <f>IFERROR(CHOOSE(MATCH(B23,{6000,14001,50001,150001,200001}),$G$3,$G$4,$G$5,$G$6),"")</f>
        <v/>
      </c>
      <c r="D23" s="19" t="str">
        <f t="shared" si="1"/>
        <v/>
      </c>
      <c r="E23" s="20" t="str">
        <f t="shared" si="0"/>
        <v/>
      </c>
      <c r="F23" s="12" t="str">
        <f t="shared" si="2"/>
        <v>OK</v>
      </c>
    </row>
    <row r="24" spans="2:6" ht="18" x14ac:dyDescent="0.3">
      <c r="B24" s="18"/>
      <c r="C24" s="21" t="str">
        <f>IFERROR(CHOOSE(MATCH(B24,{6000,14001,50001,150001,200001}),$G$3,$G$4,$G$5,$G$6),"")</f>
        <v/>
      </c>
      <c r="D24" s="19" t="str">
        <f t="shared" si="1"/>
        <v/>
      </c>
      <c r="E24" s="20" t="str">
        <f t="shared" si="0"/>
        <v/>
      </c>
      <c r="F24" s="12" t="str">
        <f t="shared" si="2"/>
        <v>OK</v>
      </c>
    </row>
    <row r="25" spans="2:6" ht="18" x14ac:dyDescent="0.3">
      <c r="B25" s="18"/>
      <c r="C25" s="21" t="str">
        <f>IFERROR(CHOOSE(MATCH(B25,{6000,14001,50001,150001,200001}),$G$3,$G$4,$G$5,$G$6),"")</f>
        <v/>
      </c>
      <c r="D25" s="19" t="str">
        <f t="shared" si="1"/>
        <v/>
      </c>
      <c r="E25" s="20" t="str">
        <f t="shared" si="0"/>
        <v/>
      </c>
      <c r="F25" s="12" t="str">
        <f t="shared" si="2"/>
        <v>OK</v>
      </c>
    </row>
    <row r="26" spans="2:6" ht="18" x14ac:dyDescent="0.3">
      <c r="B26" s="18"/>
      <c r="C26" s="21" t="str">
        <f>IFERROR(CHOOSE(MATCH(B26,{6000,14001,50001,150001,200001}),$G$3,$G$4,$G$5,$G$6),"")</f>
        <v/>
      </c>
      <c r="D26" s="19" t="str">
        <f t="shared" si="1"/>
        <v/>
      </c>
      <c r="E26" s="20" t="str">
        <f t="shared" si="0"/>
        <v/>
      </c>
      <c r="F26" s="12" t="str">
        <f t="shared" si="2"/>
        <v>OK</v>
      </c>
    </row>
    <row r="27" spans="2:6" ht="18" x14ac:dyDescent="0.3">
      <c r="B27" s="18"/>
      <c r="C27" s="21" t="str">
        <f>IFERROR(CHOOSE(MATCH(B27,{6000,14001,50001,150001,200001}),$G$3,$G$4,$G$5,$G$6),"")</f>
        <v/>
      </c>
      <c r="D27" s="19" t="str">
        <f t="shared" si="1"/>
        <v/>
      </c>
      <c r="E27" s="20" t="str">
        <f t="shared" si="0"/>
        <v/>
      </c>
      <c r="F27" s="12" t="str">
        <f t="shared" si="2"/>
        <v>OK</v>
      </c>
    </row>
    <row r="28" spans="2:6" ht="18" x14ac:dyDescent="0.3">
      <c r="B28" s="18"/>
      <c r="C28" s="21" t="str">
        <f>IFERROR(CHOOSE(MATCH(B28,{6000,14001,50001,150001,200001}),$G$3,$G$4,$G$5,$G$6),"")</f>
        <v/>
      </c>
      <c r="D28" s="19" t="str">
        <f t="shared" si="1"/>
        <v/>
      </c>
      <c r="E28" s="20" t="str">
        <f t="shared" si="0"/>
        <v/>
      </c>
      <c r="F28" s="12" t="str">
        <f t="shared" si="2"/>
        <v>OK</v>
      </c>
    </row>
    <row r="29" spans="2:6" ht="18" x14ac:dyDescent="0.3">
      <c r="B29" s="18"/>
      <c r="C29" s="21" t="str">
        <f>IFERROR(CHOOSE(MATCH(B29,{6000,14001,50001,150001,200001}),$G$3,$G$4,$G$5,$G$6),"")</f>
        <v/>
      </c>
      <c r="D29" s="19" t="str">
        <f t="shared" si="1"/>
        <v/>
      </c>
      <c r="E29" s="20" t="str">
        <f t="shared" si="0"/>
        <v/>
      </c>
      <c r="F29" s="12" t="str">
        <f t="shared" si="2"/>
        <v>OK</v>
      </c>
    </row>
    <row r="30" spans="2:6" ht="18" x14ac:dyDescent="0.35">
      <c r="B30" s="11"/>
      <c r="C30" s="11"/>
      <c r="D30" s="11"/>
      <c r="E30" s="11"/>
    </row>
    <row r="31" spans="2:6" ht="18" x14ac:dyDescent="0.35">
      <c r="B31" s="11"/>
      <c r="C31" s="11"/>
      <c r="D31" s="11"/>
      <c r="E31" s="11"/>
    </row>
    <row r="32" spans="2:6" ht="18" x14ac:dyDescent="0.35">
      <c r="B32" s="11"/>
      <c r="C32" s="11"/>
      <c r="D32" s="11"/>
      <c r="E32" s="11"/>
    </row>
    <row r="33" spans="2:5" ht="18" x14ac:dyDescent="0.35">
      <c r="B33" s="11"/>
      <c r="C33" s="11"/>
      <c r="D33" s="11"/>
      <c r="E33" s="11"/>
    </row>
    <row r="34" spans="2:5" ht="18" x14ac:dyDescent="0.35">
      <c r="B34" s="11"/>
      <c r="C34" s="11"/>
      <c r="D34" s="11"/>
      <c r="E34" s="11"/>
    </row>
    <row r="35" spans="2:5" ht="18" x14ac:dyDescent="0.35">
      <c r="B35" s="11"/>
      <c r="C35" s="11"/>
      <c r="D35" s="11"/>
      <c r="E35" s="11"/>
    </row>
    <row r="36" spans="2:5" ht="18" x14ac:dyDescent="0.35">
      <c r="B36" s="11"/>
      <c r="C36" s="11"/>
      <c r="D36" s="11"/>
      <c r="E36" s="11"/>
    </row>
    <row r="37" spans="2:5" ht="18" x14ac:dyDescent="0.35">
      <c r="B37" s="11"/>
      <c r="C37" s="11"/>
      <c r="D37" s="11"/>
      <c r="E37" s="11"/>
    </row>
    <row r="38" spans="2:5" ht="18" x14ac:dyDescent="0.35">
      <c r="B38" s="11"/>
      <c r="C38" s="11"/>
      <c r="D38" s="11"/>
      <c r="E38" s="11"/>
    </row>
    <row r="39" spans="2:5" ht="18" x14ac:dyDescent="0.35">
      <c r="B39" s="11"/>
      <c r="C39" s="11"/>
      <c r="D39" s="11"/>
      <c r="E39" s="11"/>
    </row>
    <row r="40" spans="2:5" ht="18" x14ac:dyDescent="0.35">
      <c r="B40" s="11"/>
      <c r="C40" s="11"/>
      <c r="D40" s="11"/>
      <c r="E40" s="11"/>
    </row>
    <row r="41" spans="2:5" ht="18" x14ac:dyDescent="0.35">
      <c r="B41" s="11"/>
      <c r="C41" s="11"/>
      <c r="D41" s="11"/>
      <c r="E41" s="11"/>
    </row>
    <row r="42" spans="2:5" ht="18" x14ac:dyDescent="0.35">
      <c r="B42" s="11"/>
      <c r="C42" s="11"/>
      <c r="D42" s="11"/>
      <c r="E42" s="11"/>
    </row>
    <row r="43" spans="2:5" ht="18" x14ac:dyDescent="0.35">
      <c r="B43" s="11"/>
      <c r="C43" s="11"/>
      <c r="D43" s="11"/>
      <c r="E43" s="11"/>
    </row>
    <row r="44" spans="2:5" ht="18" x14ac:dyDescent="0.35">
      <c r="B44" s="11"/>
      <c r="C44" s="11"/>
      <c r="D44" s="11"/>
      <c r="E44" s="11"/>
    </row>
    <row r="45" spans="2:5" ht="18" x14ac:dyDescent="0.35">
      <c r="B45" s="11"/>
      <c r="C45" s="11"/>
      <c r="D45" s="11"/>
      <c r="E45" s="11"/>
    </row>
    <row r="46" spans="2:5" ht="18" x14ac:dyDescent="0.35">
      <c r="B46" s="11"/>
      <c r="C46" s="11"/>
      <c r="D46" s="11"/>
      <c r="E46" s="11"/>
    </row>
    <row r="47" spans="2:5" ht="18" x14ac:dyDescent="0.35">
      <c r="B47" s="11"/>
      <c r="C47" s="11"/>
      <c r="D47" s="11"/>
      <c r="E47" s="11"/>
    </row>
    <row r="48" spans="2:5" ht="18" x14ac:dyDescent="0.35">
      <c r="B48" s="11"/>
      <c r="C48" s="11"/>
      <c r="D48" s="11"/>
      <c r="E48" s="11"/>
    </row>
    <row r="49" spans="2:5" ht="18" x14ac:dyDescent="0.35">
      <c r="B49" s="11"/>
      <c r="C49" s="11"/>
      <c r="D49" s="11"/>
      <c r="E49" s="11"/>
    </row>
    <row r="50" spans="2:5" ht="18" x14ac:dyDescent="0.35">
      <c r="B50" s="11"/>
      <c r="C50" s="11"/>
      <c r="D50" s="11"/>
      <c r="E50" s="11"/>
    </row>
    <row r="51" spans="2:5" ht="18" x14ac:dyDescent="0.35">
      <c r="B51" s="11"/>
      <c r="C51" s="11"/>
      <c r="D51" s="11"/>
      <c r="E51" s="11"/>
    </row>
    <row r="52" spans="2:5" ht="18" x14ac:dyDescent="0.35">
      <c r="B52" s="11"/>
      <c r="C52" s="11"/>
      <c r="D52" s="11"/>
      <c r="E52" s="11"/>
    </row>
    <row r="53" spans="2:5" ht="18" x14ac:dyDescent="0.35">
      <c r="B53" s="11"/>
      <c r="C53" s="11"/>
      <c r="D53" s="11"/>
      <c r="E53" s="11"/>
    </row>
    <row r="54" spans="2:5" ht="18" x14ac:dyDescent="0.35">
      <c r="B54" s="11"/>
      <c r="C54" s="11"/>
      <c r="D54" s="11"/>
      <c r="E54" s="11"/>
    </row>
    <row r="55" spans="2:5" ht="18" x14ac:dyDescent="0.35">
      <c r="B55" s="11"/>
      <c r="C55" s="11"/>
      <c r="D55" s="11"/>
      <c r="E55" s="11"/>
    </row>
    <row r="56" spans="2:5" ht="18" x14ac:dyDescent="0.35">
      <c r="B56" s="11"/>
      <c r="C56" s="11"/>
      <c r="D56" s="11"/>
      <c r="E56" s="11"/>
    </row>
    <row r="57" spans="2:5" ht="18" x14ac:dyDescent="0.35">
      <c r="B57" s="11"/>
      <c r="C57" s="11"/>
      <c r="D57" s="11"/>
      <c r="E57" s="11"/>
    </row>
    <row r="58" spans="2:5" ht="18" x14ac:dyDescent="0.35">
      <c r="B58" s="11"/>
      <c r="C58" s="11"/>
      <c r="D58" s="11"/>
      <c r="E58" s="11"/>
    </row>
    <row r="59" spans="2:5" ht="18" x14ac:dyDescent="0.35">
      <c r="B59" s="11"/>
      <c r="C59" s="11"/>
      <c r="D59" s="11"/>
      <c r="E59" s="11"/>
    </row>
    <row r="60" spans="2:5" ht="18" x14ac:dyDescent="0.35">
      <c r="B60" s="11"/>
      <c r="C60" s="11"/>
      <c r="D60" s="11"/>
      <c r="E60" s="11"/>
    </row>
    <row r="61" spans="2:5" ht="18" x14ac:dyDescent="0.35">
      <c r="B61" s="11"/>
      <c r="C61" s="11"/>
      <c r="D61" s="11"/>
      <c r="E61" s="11"/>
    </row>
    <row r="85" spans="4:4" x14ac:dyDescent="0.3">
      <c r="D85" s="17"/>
    </row>
  </sheetData>
  <sheetProtection sheet="1" selectLockedCells="1"/>
  <conditionalFormatting sqref="E30:E43">
    <cfRule type="cellIs" dxfId="4" priority="33" operator="equal">
      <formula>TRUE</formula>
    </cfRule>
  </conditionalFormatting>
  <conditionalFormatting sqref="B10:B29">
    <cfRule type="expression" dxfId="3" priority="4">
      <formula>F10="ERR"</formula>
    </cfRule>
  </conditionalFormatting>
  <conditionalFormatting sqref="C10:C29">
    <cfRule type="expression" dxfId="2" priority="3">
      <formula>F10="ERR"</formula>
    </cfRule>
  </conditionalFormatting>
  <conditionalFormatting sqref="D10:D29">
    <cfRule type="expression" dxfId="1" priority="2">
      <formula>F10="ERR"</formula>
    </cfRule>
  </conditionalFormatting>
  <conditionalFormatting sqref="E10:E29">
    <cfRule type="expression" dxfId="0" priority="1">
      <formula>F10="ERR"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13</v>
      </c>
      <c r="B1" s="1" t="s">
        <v>12</v>
      </c>
      <c r="C1" s="2" t="s">
        <v>14</v>
      </c>
      <c r="D1" s="2" t="s">
        <v>15</v>
      </c>
      <c r="E1" s="3" t="s">
        <v>16</v>
      </c>
      <c r="F1" s="3" t="s">
        <v>17</v>
      </c>
    </row>
    <row r="2" spans="1:6" x14ac:dyDescent="0.3">
      <c r="A2" s="1">
        <v>1</v>
      </c>
      <c r="B2" s="1">
        <v>150</v>
      </c>
      <c r="C2" s="1" t="str">
        <f>IFERROR(VLOOKUP(B2,Sheet1!$D$14:$P$299,2,0),"")</f>
        <v/>
      </c>
      <c r="D2" s="1" t="str">
        <f>IFERROR(VLOOKUP(B2,Sheet1!$D$14:$P$299,3,0),"")</f>
        <v/>
      </c>
      <c r="E2" s="1" t="str">
        <f>IFERROR(VLOOKUP(B2,Sheet1!$D$14:$P$299,4,0),"")</f>
        <v/>
      </c>
      <c r="F2" s="1" t="str">
        <f>IFERROR(VLOOKUP(B2,Sheet1!$D$14:$P$299,54,0),"")</f>
        <v/>
      </c>
    </row>
    <row r="3" spans="1:6" x14ac:dyDescent="0.3">
      <c r="A3" s="1">
        <v>2</v>
      </c>
      <c r="B3" s="1">
        <v>151</v>
      </c>
      <c r="C3" s="1" t="str">
        <f>IFERROR(VLOOKUP(B3,Sheet1!$D$14:$P$299,2,0),"")</f>
        <v/>
      </c>
      <c r="D3" s="1" t="str">
        <f>IFERROR(VLOOKUP(B3,Sheet1!$D$14:$P$299,3,0),"")</f>
        <v/>
      </c>
      <c r="E3" s="1" t="str">
        <f>IFERROR(VLOOKUP(B3,Sheet1!$D$14:$P$299,4,0),"")</f>
        <v/>
      </c>
      <c r="F3" s="1" t="str">
        <f>IFERROR(VLOOKUP(B3,Sheet1!$D$14:$P$299,54,0),"")</f>
        <v/>
      </c>
    </row>
    <row r="4" spans="1:6" x14ac:dyDescent="0.3">
      <c r="A4" s="1">
        <v>3</v>
      </c>
      <c r="B4" s="1">
        <v>3</v>
      </c>
      <c r="C4" s="1" t="str">
        <f>IFERROR(VLOOKUP(B4,Sheet1!$D$14:$P$299,2,0),"")</f>
        <v/>
      </c>
      <c r="D4" s="1" t="str">
        <f>IFERROR(VLOOKUP(B4,Sheet1!$D$14:$P$299,3,0),"")</f>
        <v/>
      </c>
      <c r="E4" s="1" t="str">
        <f>IFERROR(VLOOKUP(B4,Sheet1!$D$14:$P$299,4,0),"")</f>
        <v/>
      </c>
      <c r="F4" s="1" t="str">
        <f>IFERROR(VLOOKUP(B4,Sheet1!$D$14:$P$299,54,0),"")</f>
        <v/>
      </c>
    </row>
    <row r="5" spans="1:6" x14ac:dyDescent="0.3">
      <c r="A5" s="1">
        <v>4</v>
      </c>
      <c r="B5" s="1">
        <v>4</v>
      </c>
      <c r="C5" s="1" t="str">
        <f>IFERROR(VLOOKUP(B5,Sheet1!$D$14:$P$299,2,0),"")</f>
        <v/>
      </c>
      <c r="D5" s="1" t="str">
        <f>IFERROR(VLOOKUP(B5,Sheet1!$D$14:$P$299,3,0),"")</f>
        <v/>
      </c>
      <c r="E5" s="1" t="str">
        <f>IFERROR(VLOOKUP(B5,Sheet1!$D$14:$P$299,4,0),"")</f>
        <v/>
      </c>
      <c r="F5" s="1" t="str">
        <f>IFERROR(VLOOKUP(B5,Sheet1!$D$14:$P$299,54,0),"")</f>
        <v/>
      </c>
    </row>
    <row r="6" spans="1:6" x14ac:dyDescent="0.3">
      <c r="A6" s="1">
        <v>5</v>
      </c>
      <c r="B6" s="1">
        <v>5</v>
      </c>
      <c r="C6" s="1" t="str">
        <f>IFERROR(VLOOKUP(B6,Sheet1!$D$14:$P$299,2,0),"")</f>
        <v/>
      </c>
      <c r="D6" s="1" t="str">
        <f>IFERROR(VLOOKUP(B6,Sheet1!$D$14:$P$299,3,0),"")</f>
        <v/>
      </c>
      <c r="E6" s="1" t="str">
        <f>IFERROR(VLOOKUP(B6,Sheet1!$D$14:$P$299,4,0),"")</f>
        <v/>
      </c>
      <c r="F6" s="1" t="str">
        <f>IFERROR(VLOOKUP(B6,Sheet1!$D$14:$P$299,54,0),"")</f>
        <v/>
      </c>
    </row>
    <row r="7" spans="1:6" x14ac:dyDescent="0.3">
      <c r="A7" s="1">
        <v>6</v>
      </c>
      <c r="B7" s="1">
        <v>6</v>
      </c>
      <c r="C7" s="1" t="str">
        <f>IFERROR(VLOOKUP(B7,Sheet1!$D$14:$P$299,2,0),"")</f>
        <v/>
      </c>
      <c r="D7" s="1" t="str">
        <f>IFERROR(VLOOKUP(B7,Sheet1!$D$14:$P$299,3,0),"")</f>
        <v/>
      </c>
      <c r="E7" s="1" t="str">
        <f>IFERROR(VLOOKUP(B7,Sheet1!$D$14:$P$299,4,0),"")</f>
        <v/>
      </c>
      <c r="F7" s="1" t="str">
        <f>IFERROR(VLOOKUP(B7,Sheet1!$D$14:$P$299,54,0),"")</f>
        <v/>
      </c>
    </row>
    <row r="8" spans="1:6" x14ac:dyDescent="0.3">
      <c r="A8" s="1">
        <v>7</v>
      </c>
      <c r="B8" s="1">
        <v>7</v>
      </c>
      <c r="C8" s="1" t="str">
        <f>IFERROR(VLOOKUP(B8,Sheet1!$D$14:$P$299,2,0),"")</f>
        <v/>
      </c>
      <c r="D8" s="1" t="str">
        <f>IFERROR(VLOOKUP(B8,Sheet1!$D$14:$P$299,3,0),"")</f>
        <v/>
      </c>
      <c r="E8" s="1" t="str">
        <f>IFERROR(VLOOKUP(B8,Sheet1!$D$14:$P$299,4,0),"")</f>
        <v/>
      </c>
      <c r="F8" s="1" t="str">
        <f>IFERROR(VLOOKUP(B8,Sheet1!$D$14:$P$299,54,0),"")</f>
        <v/>
      </c>
    </row>
    <row r="9" spans="1:6" x14ac:dyDescent="0.3">
      <c r="A9" s="1">
        <v>8</v>
      </c>
      <c r="B9" s="1">
        <v>8</v>
      </c>
      <c r="C9" s="1" t="str">
        <f>IFERROR(VLOOKUP(B9,Sheet1!$D$14:$P$299,2,0),"")</f>
        <v/>
      </c>
      <c r="D9" s="1" t="str">
        <f>IFERROR(VLOOKUP(B9,Sheet1!$D$14:$P$299,3,0),"")</f>
        <v/>
      </c>
      <c r="E9" s="1" t="str">
        <f>IFERROR(VLOOKUP(B9,Sheet1!$D$14:$P$299,4,0),"")</f>
        <v/>
      </c>
      <c r="F9" s="1" t="str">
        <f>IFERROR(VLOOKUP(B9,Sheet1!$D$14:$P$299,54,0),"")</f>
        <v/>
      </c>
    </row>
    <row r="10" spans="1:6" x14ac:dyDescent="0.3">
      <c r="A10" s="1">
        <v>9</v>
      </c>
      <c r="B10" s="1">
        <v>9</v>
      </c>
      <c r="C10" s="1" t="str">
        <f>IFERROR(VLOOKUP(B10,Sheet1!$D$14:$P$299,2,0),"")</f>
        <v/>
      </c>
      <c r="D10" s="1" t="str">
        <f>IFERROR(VLOOKUP(B10,Sheet1!$D$14:$P$299,3,0),"")</f>
        <v/>
      </c>
      <c r="E10" s="1" t="str">
        <f>IFERROR(VLOOKUP(B10,Sheet1!$D$14:$P$299,4,0),"")</f>
        <v/>
      </c>
      <c r="F10" s="1" t="str">
        <f>IFERROR(VLOOKUP(B10,Sheet1!$D$14:$P$299,54,0),"")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IFERROR(VLOOKUP(B11,Sheet1!$D$14:$P$299,2,0),"")</f>
        <v/>
      </c>
      <c r="D11" s="1" t="str">
        <f>IFERROR(VLOOKUP(B11,Sheet1!$D$14:$P$299,3,0),"")</f>
        <v/>
      </c>
      <c r="E11" s="1" t="str">
        <f>IFERROR(VLOOKUP(B11,Sheet1!$D$14:$P$299,4,0),"")</f>
        <v/>
      </c>
      <c r="F11" s="1" t="str">
        <f>IFERROR(VLOOKUP(B11,Sheet1!$D$14:$P$299,54,0),"")</f>
        <v/>
      </c>
    </row>
    <row r="12" spans="1:6" x14ac:dyDescent="0.3">
      <c r="A12" s="1">
        <v>11</v>
      </c>
      <c r="C12" s="1" t="str">
        <f>IFERROR(VLOOKUP(B12,Sheet1!$D$14:$P$299,2,0),"")</f>
        <v/>
      </c>
      <c r="D12" s="1" t="str">
        <f>IFERROR(VLOOKUP(B12,Sheet1!$D$14:$P$299,3,0),"")</f>
        <v/>
      </c>
      <c r="E12" s="1" t="str">
        <f>IFERROR(VLOOKUP(B12,Sheet1!$D$14:$P$299,4,0),"")</f>
        <v/>
      </c>
      <c r="F12" s="1" t="str">
        <f>IFERROR(VLOOKUP(B12,Sheet1!$D$14:$P$299,54,0),"")</f>
        <v/>
      </c>
    </row>
    <row r="13" spans="1:6" x14ac:dyDescent="0.3">
      <c r="A13" s="1">
        <v>12</v>
      </c>
      <c r="C13" s="1" t="str">
        <f>IFERROR(VLOOKUP(B13,Sheet1!$D$14:$P$299,2,0),"")</f>
        <v/>
      </c>
      <c r="D13" s="1" t="str">
        <f>IFERROR(VLOOKUP(B13,Sheet1!$D$14:$P$299,3,0),"")</f>
        <v/>
      </c>
      <c r="E13" s="1" t="str">
        <f>IFERROR(VLOOKUP(B13,Sheet1!$D$14:$P$299,4,0),"")</f>
        <v/>
      </c>
      <c r="F13" s="1" t="str">
        <f>IFERROR(VLOOKUP(B13,Sheet1!$D$14:$P$299,54,0),"")</f>
        <v/>
      </c>
    </row>
    <row r="14" spans="1:6" x14ac:dyDescent="0.3">
      <c r="A14" s="1">
        <v>13</v>
      </c>
      <c r="C14" s="1" t="str">
        <f>IFERROR(VLOOKUP(B14,Sheet1!$D$14:$P$299,2,0),"")</f>
        <v/>
      </c>
      <c r="D14" s="1" t="str">
        <f>IFERROR(VLOOKUP(B14,Sheet1!$D$14:$P$299,3,0),"")</f>
        <v/>
      </c>
      <c r="E14" s="1" t="str">
        <f>IFERROR(VLOOKUP(B14,Sheet1!$D$14:$P$299,4,0),"")</f>
        <v/>
      </c>
      <c r="F14" s="1" t="str">
        <f>IFERROR(VLOOKUP(B14,Sheet1!$D$14:$P$299,54,0),"")</f>
        <v/>
      </c>
    </row>
    <row r="15" spans="1:6" x14ac:dyDescent="0.3">
      <c r="A15" s="1">
        <v>14</v>
      </c>
      <c r="C15" s="1" t="str">
        <f>IFERROR(VLOOKUP(B15,Sheet1!$D$14:$P$299,2,0),"")</f>
        <v/>
      </c>
      <c r="D15" s="1" t="str">
        <f>IFERROR(VLOOKUP(B15,Sheet1!$D$14:$P$299,3,0),"")</f>
        <v/>
      </c>
      <c r="E15" s="1" t="str">
        <f>IFERROR(VLOOKUP(B15,Sheet1!$D$14:$P$299,4,0),"")</f>
        <v/>
      </c>
      <c r="F15" s="1" t="str">
        <f>IFERROR(VLOOKUP(B15,Sheet1!$D$14:$P$299,54,0),"")</f>
        <v/>
      </c>
    </row>
    <row r="16" spans="1:6" x14ac:dyDescent="0.3">
      <c r="A16" s="1">
        <v>15</v>
      </c>
      <c r="C16" s="1" t="str">
        <f>IFERROR(VLOOKUP(B16,Sheet1!$D$14:$P$299,2,0),"")</f>
        <v/>
      </c>
      <c r="D16" s="1" t="str">
        <f>IFERROR(VLOOKUP(B16,Sheet1!$D$14:$P$299,3,0),"")</f>
        <v/>
      </c>
      <c r="E16" s="1" t="str">
        <f>IFERROR(VLOOKUP(B16,Sheet1!$D$14:$P$299,4,0),"")</f>
        <v/>
      </c>
      <c r="F16" s="1" t="str">
        <f>IFERROR(VLOOKUP(B16,Sheet1!$D$14:$P$299,54,0),"")</f>
        <v/>
      </c>
    </row>
    <row r="17" spans="1:6" x14ac:dyDescent="0.3">
      <c r="A17" s="1">
        <v>16</v>
      </c>
      <c r="C17" s="1" t="str">
        <f>IFERROR(VLOOKUP(B17,Sheet1!$D$14:$P$299,2,0),"")</f>
        <v/>
      </c>
      <c r="D17" s="1" t="str">
        <f>IFERROR(VLOOKUP(B17,Sheet1!$D$14:$P$299,3,0),"")</f>
        <v/>
      </c>
      <c r="E17" s="1" t="str">
        <f>IFERROR(VLOOKUP(B17,Sheet1!$D$14:$P$299,4,0),"")</f>
        <v/>
      </c>
      <c r="F17" s="1" t="str">
        <f>IFERROR(VLOOKUP(B17,Sheet1!$D$14:$P$299,54,0),"")</f>
        <v/>
      </c>
    </row>
    <row r="18" spans="1:6" x14ac:dyDescent="0.3">
      <c r="A18" s="1">
        <v>17</v>
      </c>
      <c r="C18" s="1" t="str">
        <f>IFERROR(VLOOKUP(B18,Sheet1!$D$14:$P$299,2,0),"")</f>
        <v/>
      </c>
      <c r="D18" s="1" t="str">
        <f>IFERROR(VLOOKUP(B18,Sheet1!$D$14:$P$299,3,0),"")</f>
        <v/>
      </c>
      <c r="E18" s="1" t="str">
        <f>IFERROR(VLOOKUP(B18,Sheet1!$D$14:$P$299,4,0),"")</f>
        <v/>
      </c>
      <c r="F18" s="1" t="str">
        <f>IFERROR(VLOOKUP(B18,Sheet1!$D$14:$P$299,54,0),"")</f>
        <v/>
      </c>
    </row>
    <row r="19" spans="1:6" x14ac:dyDescent="0.3">
      <c r="A19" s="1">
        <v>18</v>
      </c>
      <c r="C19" s="1" t="str">
        <f>IFERROR(VLOOKUP(B19,Sheet1!$D$14:$P$299,2,0),"")</f>
        <v/>
      </c>
      <c r="D19" s="1" t="str">
        <f>IFERROR(VLOOKUP(B19,Sheet1!$D$14:$P$299,3,0),"")</f>
        <v/>
      </c>
      <c r="E19" s="1" t="str">
        <f>IFERROR(VLOOKUP(B19,Sheet1!$D$14:$P$299,4,0),"")</f>
        <v/>
      </c>
      <c r="F19" s="1" t="str">
        <f>IFERROR(VLOOKUP(B19,Sheet1!$D$14:$P$299,54,0),"")</f>
        <v/>
      </c>
    </row>
    <row r="20" spans="1:6" x14ac:dyDescent="0.3">
      <c r="A20" s="1">
        <v>19</v>
      </c>
      <c r="C20" s="1" t="str">
        <f>IFERROR(VLOOKUP(B20,Sheet1!$D$14:$P$299,2,0),"")</f>
        <v/>
      </c>
      <c r="D20" s="1" t="str">
        <f>IFERROR(VLOOKUP(B20,Sheet1!$D$14:$P$299,3,0),"")</f>
        <v/>
      </c>
      <c r="E20" s="1" t="str">
        <f>IFERROR(VLOOKUP(B20,Sheet1!$D$14:$P$299,4,0),"")</f>
        <v/>
      </c>
      <c r="F20" s="1" t="str">
        <f>IFERROR(VLOOKUP(B20,Sheet1!$D$14:$P$299,54,0),"")</f>
        <v/>
      </c>
    </row>
    <row r="21" spans="1:6" x14ac:dyDescent="0.3">
      <c r="A21" s="1">
        <v>20</v>
      </c>
      <c r="C21" s="1" t="str">
        <f>IFERROR(VLOOKUP(B21,Sheet1!$D$14:$P$299,2,0),"")</f>
        <v/>
      </c>
      <c r="D21" s="1" t="str">
        <f>IFERROR(VLOOKUP(B21,Sheet1!$D$14:$P$299,3,0),"")</f>
        <v/>
      </c>
      <c r="E21" s="1" t="str">
        <f>IFERROR(VLOOKUP(B21,Sheet1!$D$14:$P$299,4,0),"")</f>
        <v/>
      </c>
      <c r="F21" s="1" t="str">
        <f>IFERROR(VLOOKUP(B21,Sheet1!$D$14:$P$299,54,0),"")</f>
        <v/>
      </c>
    </row>
    <row r="22" spans="1:6" x14ac:dyDescent="0.3">
      <c r="A22" s="1">
        <v>21</v>
      </c>
      <c r="C22" s="1" t="str">
        <f>IFERROR(VLOOKUP(B22,Sheet1!$D$14:$P$299,2,0),"")</f>
        <v/>
      </c>
      <c r="D22" s="1" t="str">
        <f>IFERROR(VLOOKUP(B22,Sheet1!$D$14:$P$299,3,0),"")</f>
        <v/>
      </c>
      <c r="E22" s="1" t="str">
        <f>IFERROR(VLOOKUP(B22,Sheet1!$D$14:$P$299,4,0),"")</f>
        <v/>
      </c>
      <c r="F22" s="1" t="str">
        <f>IFERROR(VLOOKUP(B22,Sheet1!$D$14:$P$299,54,0),"")</f>
        <v/>
      </c>
    </row>
    <row r="23" spans="1:6" x14ac:dyDescent="0.3">
      <c r="A23" s="1">
        <v>22</v>
      </c>
      <c r="C23" s="1" t="str">
        <f>IFERROR(VLOOKUP(B23,Sheet1!$D$14:$P$299,2,0),"")</f>
        <v/>
      </c>
      <c r="D23" s="1" t="str">
        <f>IFERROR(VLOOKUP(B23,Sheet1!$D$14:$P$299,3,0),"")</f>
        <v/>
      </c>
      <c r="E23" s="1" t="str">
        <f>IFERROR(VLOOKUP(B23,Sheet1!$D$14:$P$299,4,0),"")</f>
        <v/>
      </c>
      <c r="F23" s="1" t="str">
        <f>IFERROR(VLOOKUP(B23,Sheet1!$D$14:$P$299,54,0),"")</f>
        <v/>
      </c>
    </row>
    <row r="24" spans="1:6" x14ac:dyDescent="0.3">
      <c r="A24" s="1">
        <v>23</v>
      </c>
      <c r="C24" s="1" t="str">
        <f>IFERROR(VLOOKUP(B24,Sheet1!$D$14:$P$299,2,0),"")</f>
        <v/>
      </c>
      <c r="D24" s="1" t="str">
        <f>IFERROR(VLOOKUP(B24,Sheet1!$D$14:$P$299,3,0),"")</f>
        <v/>
      </c>
      <c r="E24" s="1" t="str">
        <f>IFERROR(VLOOKUP(B24,Sheet1!$D$14:$P$299,4,0),"")</f>
        <v/>
      </c>
      <c r="F24" s="1" t="str">
        <f>IFERROR(VLOOKUP(B24,Sheet1!$D$14:$P$299,54,0),"")</f>
        <v/>
      </c>
    </row>
    <row r="25" spans="1:6" x14ac:dyDescent="0.3">
      <c r="A25" s="1">
        <v>24</v>
      </c>
      <c r="C25" s="1" t="str">
        <f>IFERROR(VLOOKUP(B25,Sheet1!$D$14:$P$299,2,0),"")</f>
        <v/>
      </c>
      <c r="D25" s="1" t="str">
        <f>IFERROR(VLOOKUP(B25,Sheet1!$D$14:$P$299,3,0),"")</f>
        <v/>
      </c>
      <c r="E25" s="1" t="str">
        <f>IFERROR(VLOOKUP(B25,Sheet1!$D$14:$P$299,4,0),"")</f>
        <v/>
      </c>
      <c r="F25" s="1" t="str">
        <f>IFERROR(VLOOKUP(B25,Sheet1!$D$14:$P$299,54,0),"")</f>
        <v/>
      </c>
    </row>
    <row r="26" spans="1:6" x14ac:dyDescent="0.3">
      <c r="A26" s="1">
        <v>25</v>
      </c>
      <c r="C26" s="1" t="str">
        <f>IFERROR(VLOOKUP(B26,Sheet1!$D$14:$P$299,2,0),"")</f>
        <v/>
      </c>
      <c r="D26" s="1" t="str">
        <f>IFERROR(VLOOKUP(B26,Sheet1!$D$14:$P$299,3,0),"")</f>
        <v/>
      </c>
      <c r="E26" s="1" t="str">
        <f>IFERROR(VLOOKUP(B26,Sheet1!$D$14:$P$299,4,0),"")</f>
        <v/>
      </c>
      <c r="F26" s="1" t="str">
        <f>IFERROR(VLOOKUP(B26,Sheet1!$D$14:$P$299,54,0),"")</f>
        <v/>
      </c>
    </row>
    <row r="27" spans="1:6" x14ac:dyDescent="0.3">
      <c r="A27" s="1">
        <v>26</v>
      </c>
      <c r="C27" s="1" t="str">
        <f>IFERROR(VLOOKUP(B27,Sheet1!$D$14:$P$299,2,0),"")</f>
        <v/>
      </c>
      <c r="D27" s="1" t="str">
        <f>IFERROR(VLOOKUP(B27,Sheet1!$D$14:$P$299,3,0),"")</f>
        <v/>
      </c>
      <c r="E27" s="1" t="str">
        <f>IFERROR(VLOOKUP(B27,Sheet1!$D$14:$P$299,4,0),"")</f>
        <v/>
      </c>
      <c r="F27" s="1" t="str">
        <f>IFERROR(VLOOKUP(B27,Sheet1!$D$14:$P$299,54,0),"")</f>
        <v/>
      </c>
    </row>
    <row r="28" spans="1:6" x14ac:dyDescent="0.3">
      <c r="A28" s="1">
        <v>27</v>
      </c>
      <c r="C28" s="1" t="str">
        <f>IFERROR(VLOOKUP(B28,Sheet1!$D$14:$P$299,2,0),"")</f>
        <v/>
      </c>
      <c r="D28" s="1" t="str">
        <f>IFERROR(VLOOKUP(B28,Sheet1!$D$14:$P$299,3,0),"")</f>
        <v/>
      </c>
      <c r="E28" s="1" t="str">
        <f>IFERROR(VLOOKUP(B28,Sheet1!$D$14:$P$299,4,0),"")</f>
        <v/>
      </c>
      <c r="F28" s="1" t="str">
        <f>IFERROR(VLOOKUP(B28,Sheet1!$D$14:$P$299,54,0),"")</f>
        <v/>
      </c>
    </row>
    <row r="29" spans="1:6" x14ac:dyDescent="0.3">
      <c r="A29" s="1">
        <v>28</v>
      </c>
      <c r="C29" s="1" t="str">
        <f>IFERROR(VLOOKUP(B29,Sheet1!$D$14:$P$299,2,0),"")</f>
        <v/>
      </c>
      <c r="D29" s="1" t="str">
        <f>IFERROR(VLOOKUP(B29,Sheet1!$D$14:$P$299,3,0),"")</f>
        <v/>
      </c>
      <c r="E29" s="1" t="str">
        <f>IFERROR(VLOOKUP(B29,Sheet1!$D$14:$P$299,4,0),"")</f>
        <v/>
      </c>
      <c r="F29" s="1" t="str">
        <f>IFERROR(VLOOKUP(B29,Sheet1!$D$14:$P$299,54,0),"")</f>
        <v/>
      </c>
    </row>
    <row r="30" spans="1:6" x14ac:dyDescent="0.3">
      <c r="A30" s="1">
        <v>29</v>
      </c>
      <c r="C30" s="1" t="str">
        <f>IFERROR(VLOOKUP(B30,Sheet1!$D$14:$P$299,2,0),"")</f>
        <v/>
      </c>
      <c r="D30" s="1" t="str">
        <f>IFERROR(VLOOKUP(B30,Sheet1!$D$14:$P$299,3,0),"")</f>
        <v/>
      </c>
      <c r="E30" s="1" t="str">
        <f>IFERROR(VLOOKUP(B30,Sheet1!$D$14:$P$299,4,0),"")</f>
        <v/>
      </c>
      <c r="F30" s="1" t="str">
        <f>IFERROR(VLOOKUP(B30,Sheet1!$D$14:$P$299,54,0),"")</f>
        <v/>
      </c>
    </row>
    <row r="31" spans="1:6" x14ac:dyDescent="0.3">
      <c r="A31" s="1">
        <v>30</v>
      </c>
      <c r="C31" s="1" t="str">
        <f>IFERROR(VLOOKUP(B31,Sheet1!$D$14:$P$299,2,0),"")</f>
        <v/>
      </c>
      <c r="D31" s="1" t="str">
        <f>IFERROR(VLOOKUP(B31,Sheet1!$D$14:$P$299,3,0),"")</f>
        <v/>
      </c>
      <c r="E31" s="1" t="str">
        <f>IFERROR(VLOOKUP(B31,Sheet1!$D$14:$P$299,4,0),"")</f>
        <v/>
      </c>
      <c r="F31" s="1" t="str">
        <f>IFERROR(VLOOKUP(B31,Sheet1!$D$14:$P$299,54,0),"")</f>
        <v/>
      </c>
    </row>
    <row r="32" spans="1:6" x14ac:dyDescent="0.3">
      <c r="A32" s="1">
        <v>31</v>
      </c>
      <c r="C32" s="1" t="str">
        <f>IFERROR(VLOOKUP(B32,Sheet1!$D$14:$P$299,2,0),"")</f>
        <v/>
      </c>
      <c r="D32" s="1" t="str">
        <f>IFERROR(VLOOKUP(B32,Sheet1!$D$14:$P$299,3,0),"")</f>
        <v/>
      </c>
      <c r="E32" s="1" t="str">
        <f>IFERROR(VLOOKUP(B32,Sheet1!$D$14:$P$299,4,0),"")</f>
        <v/>
      </c>
      <c r="F32" s="1" t="str">
        <f>IFERROR(VLOOKUP(B32,Sheet1!$D$14:$P$299,54,0),"")</f>
        <v/>
      </c>
    </row>
    <row r="33" spans="1:6" x14ac:dyDescent="0.3">
      <c r="A33" s="1">
        <v>32</v>
      </c>
      <c r="C33" s="1" t="str">
        <f>IFERROR(VLOOKUP(B33,Sheet1!$D$14:$P$299,2,0),"")</f>
        <v/>
      </c>
      <c r="D33" s="1" t="str">
        <f>IFERROR(VLOOKUP(B33,Sheet1!$D$14:$P$299,3,0),"")</f>
        <v/>
      </c>
      <c r="E33" s="1" t="str">
        <f>IFERROR(VLOOKUP(B33,Sheet1!$D$14:$P$299,4,0),"")</f>
        <v/>
      </c>
      <c r="F33" s="1" t="str">
        <f>IFERROR(VLOOKUP(B33,Sheet1!$D$14:$P$299,54,0),"")</f>
        <v/>
      </c>
    </row>
    <row r="34" spans="1:6" x14ac:dyDescent="0.3">
      <c r="A34" s="1">
        <v>33</v>
      </c>
      <c r="C34" s="1" t="str">
        <f>IFERROR(VLOOKUP(B34,Sheet1!$D$14:$P$299,2,0),"")</f>
        <v/>
      </c>
      <c r="D34" s="1" t="str">
        <f>IFERROR(VLOOKUP(B34,Sheet1!$D$14:$P$299,3,0),"")</f>
        <v/>
      </c>
      <c r="E34" s="1" t="str">
        <f>IFERROR(VLOOKUP(B34,Sheet1!$D$14:$P$299,4,0),"")</f>
        <v/>
      </c>
      <c r="F34" s="1" t="str">
        <f>IFERROR(VLOOKUP(B34,Sheet1!$D$14:$P$299,54,0),"")</f>
        <v/>
      </c>
    </row>
    <row r="35" spans="1:6" x14ac:dyDescent="0.3">
      <c r="A35" s="1">
        <v>34</v>
      </c>
      <c r="C35" s="1" t="str">
        <f>IFERROR(VLOOKUP(B35,Sheet1!$D$14:$P$299,2,0),"")</f>
        <v/>
      </c>
      <c r="D35" s="1" t="str">
        <f>IFERROR(VLOOKUP(B35,Sheet1!$D$14:$P$299,3,0),"")</f>
        <v/>
      </c>
      <c r="E35" s="1" t="str">
        <f>IFERROR(VLOOKUP(B35,Sheet1!$D$14:$P$299,4,0),"")</f>
        <v/>
      </c>
      <c r="F35" s="1" t="str">
        <f>IFERROR(VLOOKUP(B35,Sheet1!$D$14:$P$299,54,0),"")</f>
        <v/>
      </c>
    </row>
    <row r="36" spans="1:6" x14ac:dyDescent="0.3">
      <c r="A36" s="1">
        <v>35</v>
      </c>
      <c r="C36" s="1" t="str">
        <f>IFERROR(VLOOKUP(B36,Sheet1!$D$14:$P$299,2,0),"")</f>
        <v/>
      </c>
      <c r="D36" s="1" t="str">
        <f>IFERROR(VLOOKUP(B36,Sheet1!$D$14:$P$299,3,0),"")</f>
        <v/>
      </c>
      <c r="E36" s="1" t="str">
        <f>IFERROR(VLOOKUP(B36,Sheet1!$D$14:$P$299,4,0),"")</f>
        <v/>
      </c>
      <c r="F36" s="1" t="str">
        <f>IFERROR(VLOOKUP(B36,Sheet1!$D$14:$P$299,54,0),"")</f>
        <v/>
      </c>
    </row>
    <row r="37" spans="1:6" x14ac:dyDescent="0.3">
      <c r="A37" s="1">
        <v>36</v>
      </c>
      <c r="C37" s="1" t="str">
        <f>IFERROR(VLOOKUP(B37,Sheet1!$D$14:$P$299,2,0),"")</f>
        <v/>
      </c>
      <c r="D37" s="1" t="str">
        <f>IFERROR(VLOOKUP(B37,Sheet1!$D$14:$P$299,3,0),"")</f>
        <v/>
      </c>
      <c r="E37" s="1" t="str">
        <f>IFERROR(VLOOKUP(B37,Sheet1!$D$14:$P$299,4,0),"")</f>
        <v/>
      </c>
      <c r="F37" s="1" t="str">
        <f>IFERROR(VLOOKUP(B37,Sheet1!$D$14:$P$299,54,0),"")</f>
        <v/>
      </c>
    </row>
    <row r="38" spans="1:6" x14ac:dyDescent="0.3">
      <c r="A38" s="1">
        <v>37</v>
      </c>
      <c r="C38" s="1" t="str">
        <f>IFERROR(VLOOKUP(B38,Sheet1!$D$14:$P$299,2,0),"")</f>
        <v/>
      </c>
      <c r="D38" s="1" t="str">
        <f>IFERROR(VLOOKUP(B38,Sheet1!$D$14:$P$299,3,0),"")</f>
        <v/>
      </c>
      <c r="E38" s="1" t="str">
        <f>IFERROR(VLOOKUP(B38,Sheet1!$D$14:$P$299,4,0),"")</f>
        <v/>
      </c>
      <c r="F38" s="1" t="str">
        <f>IFERROR(VLOOKUP(B38,Sheet1!$D$14:$P$299,54,0),"")</f>
        <v/>
      </c>
    </row>
    <row r="39" spans="1:6" x14ac:dyDescent="0.3">
      <c r="A39" s="1">
        <v>38</v>
      </c>
      <c r="C39" s="1" t="str">
        <f>IFERROR(VLOOKUP(B39,Sheet1!$D$14:$P$299,2,0),"")</f>
        <v/>
      </c>
      <c r="D39" s="1" t="str">
        <f>IFERROR(VLOOKUP(B39,Sheet1!$D$14:$P$299,3,0),"")</f>
        <v/>
      </c>
      <c r="E39" s="1" t="str">
        <f>IFERROR(VLOOKUP(B39,Sheet1!$D$14:$P$299,4,0),"")</f>
        <v/>
      </c>
      <c r="F39" s="1" t="str">
        <f>IFERROR(VLOOKUP(B39,Sheet1!$D$14:$P$299,54,0),"")</f>
        <v/>
      </c>
    </row>
    <row r="40" spans="1:6" x14ac:dyDescent="0.3">
      <c r="A40" s="1">
        <v>39</v>
      </c>
      <c r="C40" s="1" t="str">
        <f>IFERROR(VLOOKUP(B40,Sheet1!$D$14:$P$299,2,0),"")</f>
        <v/>
      </c>
      <c r="D40" s="1" t="str">
        <f>IFERROR(VLOOKUP(B40,Sheet1!$D$14:$P$299,3,0),"")</f>
        <v/>
      </c>
      <c r="E40" s="1" t="str">
        <f>IFERROR(VLOOKUP(B40,Sheet1!$D$14:$P$299,4,0),"")</f>
        <v/>
      </c>
      <c r="F40" s="1" t="str">
        <f>IFERROR(VLOOKUP(B40,Sheet1!$D$14:$P$299,54,0),"")</f>
        <v/>
      </c>
    </row>
    <row r="41" spans="1:6" x14ac:dyDescent="0.3">
      <c r="A41" s="1">
        <v>40</v>
      </c>
      <c r="C41" s="1" t="str">
        <f>IFERROR(VLOOKUP(B41,Sheet1!$D$14:$P$299,2,0),"")</f>
        <v/>
      </c>
      <c r="D41" s="1" t="str">
        <f>IFERROR(VLOOKUP(B41,Sheet1!$D$14:$P$299,3,0),"")</f>
        <v/>
      </c>
      <c r="E41" s="1" t="str">
        <f>IFERROR(VLOOKUP(B41,Sheet1!$D$14:$P$299,4,0),"")</f>
        <v/>
      </c>
      <c r="F41" s="1" t="str">
        <f>IFERROR(VLOOKUP(B41,Sheet1!$D$14:$P$299,54,0),"")</f>
        <v/>
      </c>
    </row>
    <row r="42" spans="1:6" x14ac:dyDescent="0.3">
      <c r="A42" s="1">
        <v>41</v>
      </c>
      <c r="C42" s="1" t="str">
        <f>IFERROR(VLOOKUP(B42,Sheet1!$D$14:$P$299,2,0),"")</f>
        <v/>
      </c>
      <c r="D42" s="1" t="str">
        <f>IFERROR(VLOOKUP(B42,Sheet1!$D$14:$P$299,3,0),"")</f>
        <v/>
      </c>
      <c r="E42" s="1" t="str">
        <f>IFERROR(VLOOKUP(B42,Sheet1!$D$14:$P$299,4,0),"")</f>
        <v/>
      </c>
      <c r="F42" s="1" t="str">
        <f>IFERROR(VLOOKUP(B42,Sheet1!$D$14:$P$299,54,0),"")</f>
        <v/>
      </c>
    </row>
    <row r="43" spans="1:6" x14ac:dyDescent="0.3">
      <c r="A43" s="1">
        <v>42</v>
      </c>
      <c r="C43" s="1" t="str">
        <f>IFERROR(VLOOKUP(B43,Sheet1!$D$14:$P$299,2,0),"")</f>
        <v/>
      </c>
      <c r="D43" s="1" t="str">
        <f>IFERROR(VLOOKUP(B43,Sheet1!$D$14:$P$299,3,0),"")</f>
        <v/>
      </c>
      <c r="E43" s="1" t="str">
        <f>IFERROR(VLOOKUP(B43,Sheet1!$D$14:$P$299,4,0),"")</f>
        <v/>
      </c>
      <c r="F43" s="1" t="str">
        <f>IFERROR(VLOOKUP(B43,Sheet1!$D$14:$P$299,54,0),"")</f>
        <v/>
      </c>
    </row>
    <row r="44" spans="1:6" x14ac:dyDescent="0.3">
      <c r="A44" s="1">
        <v>43</v>
      </c>
      <c r="C44" s="1" t="str">
        <f>IFERROR(VLOOKUP(B44,Sheet1!$D$14:$P$299,2,0),"")</f>
        <v/>
      </c>
      <c r="D44" s="1" t="str">
        <f>IFERROR(VLOOKUP(B44,Sheet1!$D$14:$P$299,3,0),"")</f>
        <v/>
      </c>
      <c r="E44" s="1" t="str">
        <f>IFERROR(VLOOKUP(B44,Sheet1!$D$14:$P$299,4,0),"")</f>
        <v/>
      </c>
      <c r="F44" s="1" t="str">
        <f>IFERROR(VLOOKUP(B44,Sheet1!$D$14:$P$299,54,0),"")</f>
        <v/>
      </c>
    </row>
    <row r="45" spans="1:6" x14ac:dyDescent="0.3">
      <c r="A45" s="1">
        <v>44</v>
      </c>
      <c r="C45" s="1" t="str">
        <f>IFERROR(VLOOKUP(B45,Sheet1!$D$14:$P$299,2,0),"")</f>
        <v/>
      </c>
      <c r="D45" s="1" t="str">
        <f>IFERROR(VLOOKUP(B45,Sheet1!$D$14:$P$299,3,0),"")</f>
        <v/>
      </c>
      <c r="E45" s="1" t="str">
        <f>IFERROR(VLOOKUP(B45,Sheet1!$D$14:$P$299,4,0),"")</f>
        <v/>
      </c>
      <c r="F45" s="1" t="str">
        <f>IFERROR(VLOOKUP(B45,Sheet1!$D$14:$P$299,54,0),"")</f>
        <v/>
      </c>
    </row>
    <row r="46" spans="1:6" x14ac:dyDescent="0.3">
      <c r="A46" s="1">
        <v>45</v>
      </c>
      <c r="C46" s="1" t="str">
        <f>IFERROR(VLOOKUP(B46,Sheet1!$D$14:$P$299,2,0),"")</f>
        <v/>
      </c>
      <c r="D46" s="1" t="str">
        <f>IFERROR(VLOOKUP(B46,Sheet1!$D$14:$P$299,3,0),"")</f>
        <v/>
      </c>
      <c r="E46" s="1" t="str">
        <f>IFERROR(VLOOKUP(B46,Sheet1!$D$14:$P$299,4,0),"")</f>
        <v/>
      </c>
      <c r="F46" s="1" t="str">
        <f>IFERROR(VLOOKUP(B46,Sheet1!$D$14:$P$299,54,0),"")</f>
        <v/>
      </c>
    </row>
    <row r="47" spans="1:6" x14ac:dyDescent="0.3">
      <c r="A47" s="1">
        <v>46</v>
      </c>
      <c r="C47" s="1" t="str">
        <f>IFERROR(VLOOKUP(B47,Sheet1!$D$14:$P$299,2,0),"")</f>
        <v/>
      </c>
      <c r="D47" s="1" t="str">
        <f>IFERROR(VLOOKUP(B47,Sheet1!$D$14:$P$299,3,0),"")</f>
        <v/>
      </c>
      <c r="E47" s="1" t="str">
        <f>IFERROR(VLOOKUP(B47,Sheet1!$D$14:$P$299,4,0),"")</f>
        <v/>
      </c>
      <c r="F47" s="1" t="str">
        <f>IFERROR(VLOOKUP(B47,Sheet1!$D$14:$P$299,54,0),"")</f>
        <v/>
      </c>
    </row>
    <row r="48" spans="1:6" x14ac:dyDescent="0.3">
      <c r="A48" s="1">
        <v>47</v>
      </c>
      <c r="C48" s="1" t="str">
        <f>IFERROR(VLOOKUP(B48,Sheet1!$D$14:$P$299,2,0),"")</f>
        <v/>
      </c>
      <c r="D48" s="1" t="str">
        <f>IFERROR(VLOOKUP(B48,Sheet1!$D$14:$P$299,3,0),"")</f>
        <v/>
      </c>
      <c r="E48" s="1" t="str">
        <f>IFERROR(VLOOKUP(B48,Sheet1!$D$14:$P$299,4,0),"")</f>
        <v/>
      </c>
      <c r="F48" s="1" t="str">
        <f>IFERROR(VLOOKUP(B48,Sheet1!$D$14:$P$299,54,0),"")</f>
        <v/>
      </c>
    </row>
    <row r="49" spans="1:6" x14ac:dyDescent="0.3">
      <c r="A49" s="1">
        <v>48</v>
      </c>
      <c r="C49" s="1" t="str">
        <f>IFERROR(VLOOKUP(B49,Sheet1!$D$14:$P$299,2,0),"")</f>
        <v/>
      </c>
      <c r="D49" s="1" t="str">
        <f>IFERROR(VLOOKUP(B49,Sheet1!$D$14:$P$299,3,0),"")</f>
        <v/>
      </c>
      <c r="E49" s="1" t="str">
        <f>IFERROR(VLOOKUP(B49,Sheet1!$D$14:$P$299,4,0),"")</f>
        <v/>
      </c>
      <c r="F49" s="1" t="str">
        <f>IFERROR(VLOOKUP(B49,Sheet1!$D$14:$P$299,54,0),"")</f>
        <v/>
      </c>
    </row>
    <row r="50" spans="1:6" x14ac:dyDescent="0.3">
      <c r="A50" s="1">
        <v>49</v>
      </c>
      <c r="C50" s="1" t="str">
        <f>IFERROR(VLOOKUP(B50,Sheet1!$D$14:$P$299,2,0),"")</f>
        <v/>
      </c>
      <c r="D50" s="1" t="str">
        <f>IFERROR(VLOOKUP(B50,Sheet1!$D$14:$P$299,3,0),"")</f>
        <v/>
      </c>
      <c r="E50" s="1" t="str">
        <f>IFERROR(VLOOKUP(B50,Sheet1!$D$14:$P$299,4,0),"")</f>
        <v/>
      </c>
      <c r="F50" s="1" t="str">
        <f>IFERROR(VLOOKUP(B50,Sheet1!$D$14:$P$299,54,0),"")</f>
        <v/>
      </c>
    </row>
    <row r="51" spans="1:6" x14ac:dyDescent="0.3">
      <c r="A51" s="1">
        <v>50</v>
      </c>
      <c r="C51" s="1" t="str">
        <f>IFERROR(VLOOKUP(B51,Sheet1!$D$14:$P$299,2,0),"")</f>
        <v/>
      </c>
      <c r="D51" s="1" t="str">
        <f>IFERROR(VLOOKUP(B51,Sheet1!$D$14:$P$299,3,0),"")</f>
        <v/>
      </c>
      <c r="E51" s="1" t="str">
        <f>IFERROR(VLOOKUP(B51,Sheet1!$D$14:$P$299,4,0),"")</f>
        <v/>
      </c>
      <c r="F51" s="1" t="str">
        <f>IFERROR(VLOOKUP(B51,Sheet1!$D$14:$P$299,54,0),"")</f>
        <v/>
      </c>
    </row>
    <row r="52" spans="1:6" x14ac:dyDescent="0.3">
      <c r="A52" s="1">
        <v>51</v>
      </c>
      <c r="C52" s="1" t="str">
        <f>IFERROR(VLOOKUP(B52,Sheet1!$D$14:$P$299,2,0),"")</f>
        <v/>
      </c>
      <c r="D52" s="1" t="str">
        <f>IFERROR(VLOOKUP(B52,Sheet1!$D$14:$P$299,3,0),"")</f>
        <v/>
      </c>
      <c r="E52" s="1" t="str">
        <f>IFERROR(VLOOKUP(B52,Sheet1!$D$14:$P$299,4,0),"")</f>
        <v/>
      </c>
      <c r="F52" s="1" t="str">
        <f>IFERROR(VLOOKUP(B52,Sheet1!$D$14:$P$299,54,0),"")</f>
        <v/>
      </c>
    </row>
    <row r="53" spans="1:6" x14ac:dyDescent="0.3">
      <c r="A53" s="1">
        <v>52</v>
      </c>
      <c r="C53" s="1" t="str">
        <f>IFERROR(VLOOKUP(B53,Sheet1!$D$14:$P$299,2,0),"")</f>
        <v/>
      </c>
      <c r="D53" s="1" t="str">
        <f>IFERROR(VLOOKUP(B53,Sheet1!$D$14:$P$299,3,0),"")</f>
        <v/>
      </c>
      <c r="E53" s="1" t="str">
        <f>IFERROR(VLOOKUP(B53,Sheet1!$D$14:$P$299,4,0),"")</f>
        <v/>
      </c>
      <c r="F53" s="1" t="str">
        <f>IFERROR(VLOOKUP(B53,Sheet1!$D$14:$P$299,54,0),"")</f>
        <v/>
      </c>
    </row>
    <row r="54" spans="1:6" x14ac:dyDescent="0.3">
      <c r="A54" s="1">
        <v>53</v>
      </c>
      <c r="C54" s="1" t="str">
        <f>IFERROR(VLOOKUP(B54,Sheet1!$D$14:$P$299,2,0),"")</f>
        <v/>
      </c>
      <c r="D54" s="1" t="str">
        <f>IFERROR(VLOOKUP(B54,Sheet1!$D$14:$P$299,3,0),"")</f>
        <v/>
      </c>
      <c r="E54" s="1" t="str">
        <f>IFERROR(VLOOKUP(B54,Sheet1!$D$14:$P$299,4,0),"")</f>
        <v/>
      </c>
      <c r="F54" s="1" t="str">
        <f>IFERROR(VLOOKUP(B54,Sheet1!$D$14:$P$299,54,0),"")</f>
        <v/>
      </c>
    </row>
    <row r="55" spans="1:6" x14ac:dyDescent="0.3">
      <c r="A55" s="1">
        <v>54</v>
      </c>
      <c r="C55" s="1" t="str">
        <f>IFERROR(VLOOKUP(B55,Sheet1!$D$14:$P$299,2,0),"")</f>
        <v/>
      </c>
      <c r="D55" s="1" t="str">
        <f>IFERROR(VLOOKUP(B55,Sheet1!$D$14:$P$299,3,0),"")</f>
        <v/>
      </c>
      <c r="E55" s="1" t="str">
        <f>IFERROR(VLOOKUP(B55,Sheet1!$D$14:$P$299,4,0),"")</f>
        <v/>
      </c>
      <c r="F55" s="1" t="str">
        <f>IFERROR(VLOOKUP(B55,Sheet1!$D$14:$P$299,54,0),"")</f>
        <v/>
      </c>
    </row>
    <row r="56" spans="1:6" x14ac:dyDescent="0.3">
      <c r="A56" s="1">
        <v>55</v>
      </c>
      <c r="C56" s="1" t="str">
        <f>IFERROR(VLOOKUP(B56,Sheet1!$D$14:$P$299,2,0),"")</f>
        <v/>
      </c>
      <c r="D56" s="1" t="str">
        <f>IFERROR(VLOOKUP(B56,Sheet1!$D$14:$P$299,3,0),"")</f>
        <v/>
      </c>
      <c r="E56" s="1" t="str">
        <f>IFERROR(VLOOKUP(B56,Sheet1!$D$14:$P$299,4,0),"")</f>
        <v/>
      </c>
      <c r="F56" s="1" t="str">
        <f>IFERROR(VLOOKUP(B56,Sheet1!$D$14:$P$299,54,0),"")</f>
        <v/>
      </c>
    </row>
    <row r="57" spans="1:6" x14ac:dyDescent="0.3">
      <c r="A57" s="1">
        <v>56</v>
      </c>
      <c r="C57" s="1" t="str">
        <f>IFERROR(VLOOKUP(B57,Sheet1!$D$14:$P$299,2,0),"")</f>
        <v/>
      </c>
      <c r="D57" s="1" t="str">
        <f>IFERROR(VLOOKUP(B57,Sheet1!$D$14:$P$299,3,0),"")</f>
        <v/>
      </c>
      <c r="E57" s="1" t="str">
        <f>IFERROR(VLOOKUP(B57,Sheet1!$D$14:$P$299,4,0),"")</f>
        <v/>
      </c>
      <c r="F57" s="1" t="str">
        <f>IFERROR(VLOOKUP(B57,Sheet1!$D$14:$P$299,54,0),"")</f>
        <v/>
      </c>
    </row>
    <row r="58" spans="1:6" x14ac:dyDescent="0.3">
      <c r="A58" s="1">
        <v>57</v>
      </c>
      <c r="C58" s="1" t="str">
        <f>IFERROR(VLOOKUP(B58,Sheet1!$D$14:$P$299,2,0),"")</f>
        <v/>
      </c>
      <c r="D58" s="1" t="str">
        <f>IFERROR(VLOOKUP(B58,Sheet1!$D$14:$P$299,3,0),"")</f>
        <v/>
      </c>
      <c r="E58" s="1" t="str">
        <f>IFERROR(VLOOKUP(B58,Sheet1!$D$14:$P$299,4,0),"")</f>
        <v/>
      </c>
      <c r="F58" s="1" t="str">
        <f>IFERROR(VLOOKUP(B58,Sheet1!$D$14:$P$299,54,0),"")</f>
        <v/>
      </c>
    </row>
    <row r="59" spans="1:6" x14ac:dyDescent="0.3">
      <c r="A59" s="1">
        <v>58</v>
      </c>
      <c r="C59" s="1" t="str">
        <f>IFERROR(VLOOKUP(B59,Sheet1!$D$14:$P$299,2,0),"")</f>
        <v/>
      </c>
      <c r="D59" s="1" t="str">
        <f>IFERROR(VLOOKUP(B59,Sheet1!$D$14:$P$299,3,0),"")</f>
        <v/>
      </c>
      <c r="E59" s="1" t="str">
        <f>IFERROR(VLOOKUP(B59,Sheet1!$D$14:$P$299,4,0),"")</f>
        <v/>
      </c>
      <c r="F59" s="1" t="str">
        <f>IFERROR(VLOOKUP(B59,Sheet1!$D$14:$P$299,54,0),"")</f>
        <v/>
      </c>
    </row>
    <row r="60" spans="1:6" x14ac:dyDescent="0.3">
      <c r="A60" s="1">
        <v>59</v>
      </c>
      <c r="C60" s="1" t="str">
        <f>IFERROR(VLOOKUP(B60,Sheet1!$D$14:$P$299,2,0),"")</f>
        <v/>
      </c>
      <c r="D60" s="1" t="str">
        <f>IFERROR(VLOOKUP(B60,Sheet1!$D$14:$P$299,3,0),"")</f>
        <v/>
      </c>
      <c r="E60" s="1" t="str">
        <f>IFERROR(VLOOKUP(B60,Sheet1!$D$14:$P$299,4,0),"")</f>
        <v/>
      </c>
      <c r="F60" s="1" t="str">
        <f>IFERROR(VLOOKUP(B60,Sheet1!$D$14:$P$299,54,0),"")</f>
        <v/>
      </c>
    </row>
    <row r="61" spans="1:6" x14ac:dyDescent="0.3">
      <c r="A61" s="1">
        <v>60</v>
      </c>
      <c r="C61" s="1" t="str">
        <f>IFERROR(VLOOKUP(B61,Sheet1!$D$14:$P$299,2,0),"")</f>
        <v/>
      </c>
      <c r="D61" s="1" t="str">
        <f>IFERROR(VLOOKUP(B61,Sheet1!$D$14:$P$299,3,0),"")</f>
        <v/>
      </c>
      <c r="E61" s="1" t="str">
        <f>IFERROR(VLOOKUP(B61,Sheet1!$D$14:$P$299,4,0),"")</f>
        <v/>
      </c>
      <c r="F61" s="1" t="str">
        <f>IFERROR(VLOOKUP(B61,Sheet1!$D$14:$P$299,54,0),"")</f>
        <v/>
      </c>
    </row>
    <row r="62" spans="1:6" x14ac:dyDescent="0.3">
      <c r="A62" s="1">
        <v>61</v>
      </c>
      <c r="C62" s="1" t="str">
        <f>IFERROR(VLOOKUP(B62,Sheet1!$D$14:$P$299,2,0),"")</f>
        <v/>
      </c>
      <c r="D62" s="1" t="str">
        <f>IFERROR(VLOOKUP(B62,Sheet1!$D$14:$P$299,3,0),"")</f>
        <v/>
      </c>
      <c r="E62" s="1" t="str">
        <f>IFERROR(VLOOKUP(B62,Sheet1!$D$14:$P$299,4,0),"")</f>
        <v/>
      </c>
      <c r="F62" s="1" t="str">
        <f>IFERROR(VLOOKUP(B62,Sheet1!$D$14:$P$299,54,0),"")</f>
        <v/>
      </c>
    </row>
    <row r="63" spans="1:6" x14ac:dyDescent="0.3">
      <c r="A63" s="1">
        <v>62</v>
      </c>
      <c r="C63" s="1" t="str">
        <f>IFERROR(VLOOKUP(B63,Sheet1!$D$14:$P$299,2,0),"")</f>
        <v/>
      </c>
      <c r="D63" s="1" t="str">
        <f>IFERROR(VLOOKUP(B63,Sheet1!$D$14:$P$299,3,0),"")</f>
        <v/>
      </c>
      <c r="E63" s="1" t="str">
        <f>IFERROR(VLOOKUP(B63,Sheet1!$D$14:$P$299,4,0),"")</f>
        <v/>
      </c>
      <c r="F63" s="1" t="str">
        <f>IFERROR(VLOOKUP(B63,Sheet1!$D$14:$P$299,54,0),"")</f>
        <v/>
      </c>
    </row>
    <row r="64" spans="1:6" x14ac:dyDescent="0.3">
      <c r="A64" s="1">
        <v>63</v>
      </c>
      <c r="C64" s="1" t="str">
        <f>IFERROR(VLOOKUP(B64,Sheet1!$D$14:$P$299,2,0),"")</f>
        <v/>
      </c>
      <c r="D64" s="1" t="str">
        <f>IFERROR(VLOOKUP(B64,Sheet1!$D$14:$P$299,3,0),"")</f>
        <v/>
      </c>
      <c r="E64" s="1" t="str">
        <f>IFERROR(VLOOKUP(B64,Sheet1!$D$14:$P$299,4,0),"")</f>
        <v/>
      </c>
      <c r="F64" s="1" t="str">
        <f>IFERROR(VLOOKUP(B64,Sheet1!$D$14:$P$299,54,0),"")</f>
        <v/>
      </c>
    </row>
    <row r="65" spans="1:6" x14ac:dyDescent="0.3">
      <c r="A65" s="1">
        <v>64</v>
      </c>
      <c r="C65" s="1" t="str">
        <f>IFERROR(VLOOKUP(B65,Sheet1!$D$14:$P$299,2,0),"")</f>
        <v/>
      </c>
      <c r="D65" s="1" t="str">
        <f>IFERROR(VLOOKUP(B65,Sheet1!$D$14:$P$299,3,0),"")</f>
        <v/>
      </c>
      <c r="E65" s="1" t="str">
        <f>IFERROR(VLOOKUP(B65,Sheet1!$D$14:$P$299,4,0),"")</f>
        <v/>
      </c>
      <c r="F65" s="1" t="str">
        <f>IFERROR(VLOOKUP(B65,Sheet1!$D$14:$P$299,54,0),"")</f>
        <v/>
      </c>
    </row>
    <row r="66" spans="1:6" x14ac:dyDescent="0.3">
      <c r="A66" s="1">
        <v>65</v>
      </c>
      <c r="C66" s="1" t="str">
        <f>IFERROR(VLOOKUP(B66,Sheet1!$D$14:$P$299,2,0),"")</f>
        <v/>
      </c>
      <c r="D66" s="1" t="str">
        <f>IFERROR(VLOOKUP(B66,Sheet1!$D$14:$P$299,3,0),"")</f>
        <v/>
      </c>
      <c r="E66" s="1" t="str">
        <f>IFERROR(VLOOKUP(B66,Sheet1!$D$14:$P$299,4,0),"")</f>
        <v/>
      </c>
      <c r="F66" s="1" t="str">
        <f>IFERROR(VLOOKUP(B66,Sheet1!$D$14:$P$299,54,0),"")</f>
        <v/>
      </c>
    </row>
    <row r="67" spans="1:6" x14ac:dyDescent="0.3">
      <c r="A67" s="1">
        <v>66</v>
      </c>
      <c r="C67" s="1" t="str">
        <f>IFERROR(VLOOKUP(B67,Sheet1!$D$14:$P$299,2,0),"")</f>
        <v/>
      </c>
      <c r="D67" s="1" t="str">
        <f>IFERROR(VLOOKUP(B67,Sheet1!$D$14:$P$299,3,0),"")</f>
        <v/>
      </c>
      <c r="E67" s="1" t="str">
        <f>IFERROR(VLOOKUP(B67,Sheet1!$D$14:$P$299,4,0),"")</f>
        <v/>
      </c>
      <c r="F67" s="1" t="str">
        <f>IFERROR(VLOOKUP(B67,Sheet1!$D$14:$P$299,54,0),"")</f>
        <v/>
      </c>
    </row>
    <row r="68" spans="1:6" x14ac:dyDescent="0.3">
      <c r="A68" s="1">
        <v>67</v>
      </c>
      <c r="C68" s="1" t="str">
        <f>IFERROR(VLOOKUP(B68,Sheet1!$D$14:$P$299,2,0),"")</f>
        <v/>
      </c>
      <c r="D68" s="1" t="str">
        <f>IFERROR(VLOOKUP(B68,Sheet1!$D$14:$P$299,3,0),"")</f>
        <v/>
      </c>
      <c r="E68" s="1" t="str">
        <f>IFERROR(VLOOKUP(B68,Sheet1!$D$14:$P$299,4,0),"")</f>
        <v/>
      </c>
      <c r="F68" s="1" t="str">
        <f>IFERROR(VLOOKUP(B68,Sheet1!$D$14:$P$299,54,0),"")</f>
        <v/>
      </c>
    </row>
    <row r="69" spans="1:6" x14ac:dyDescent="0.3">
      <c r="A69" s="1">
        <v>68</v>
      </c>
      <c r="C69" s="1" t="str">
        <f>IFERROR(VLOOKUP(B69,Sheet1!$D$14:$P$299,2,0),"")</f>
        <v/>
      </c>
      <c r="D69" s="1" t="str">
        <f>IFERROR(VLOOKUP(B69,Sheet1!$D$14:$P$299,3,0),"")</f>
        <v/>
      </c>
      <c r="E69" s="1" t="str">
        <f>IFERROR(VLOOKUP(B69,Sheet1!$D$14:$P$299,4,0),"")</f>
        <v/>
      </c>
      <c r="F69" s="1" t="str">
        <f>IFERROR(VLOOKUP(B69,Sheet1!$D$14:$P$299,54,0),"")</f>
        <v/>
      </c>
    </row>
    <row r="70" spans="1:6" x14ac:dyDescent="0.3">
      <c r="A70" s="1">
        <v>69</v>
      </c>
      <c r="C70" s="1" t="str">
        <f>IFERROR(VLOOKUP(B70,Sheet1!$D$14:$P$299,2,0),"")</f>
        <v/>
      </c>
      <c r="D70" s="1" t="str">
        <f>IFERROR(VLOOKUP(B70,Sheet1!$D$14:$P$299,3,0),"")</f>
        <v/>
      </c>
      <c r="E70" s="1" t="str">
        <f>IFERROR(VLOOKUP(B70,Sheet1!$D$14:$P$299,4,0),"")</f>
        <v/>
      </c>
      <c r="F70" s="1" t="str">
        <f>IFERROR(VLOOKUP(B70,Sheet1!$D$14:$P$299,54,0),"")</f>
        <v/>
      </c>
    </row>
    <row r="71" spans="1:6" x14ac:dyDescent="0.3">
      <c r="A71" s="1">
        <v>70</v>
      </c>
      <c r="C71" s="1" t="str">
        <f>IFERROR(VLOOKUP(B71,Sheet1!$D$14:$P$299,2,0),"")</f>
        <v/>
      </c>
      <c r="D71" s="1" t="str">
        <f>IFERROR(VLOOKUP(B71,Sheet1!$D$14:$P$299,3,0),"")</f>
        <v/>
      </c>
      <c r="E71" s="1" t="str">
        <f>IFERROR(VLOOKUP(B71,Sheet1!$D$14:$P$299,4,0),"")</f>
        <v/>
      </c>
      <c r="F71" s="1" t="str">
        <f>IFERROR(VLOOKUP(B71,Sheet1!$D$14:$P$299,54,0),"")</f>
        <v/>
      </c>
    </row>
    <row r="72" spans="1:6" x14ac:dyDescent="0.3">
      <c r="A72" s="1">
        <v>71</v>
      </c>
      <c r="C72" s="1" t="str">
        <f>IFERROR(VLOOKUP(B72,Sheet1!$D$14:$P$299,2,0),"")</f>
        <v/>
      </c>
      <c r="D72" s="1" t="str">
        <f>IFERROR(VLOOKUP(B72,Sheet1!$D$14:$P$299,3,0),"")</f>
        <v/>
      </c>
      <c r="E72" s="1" t="str">
        <f>IFERROR(VLOOKUP(B72,Sheet1!$D$14:$P$299,4,0),"")</f>
        <v/>
      </c>
      <c r="F72" s="1" t="str">
        <f>IFERROR(VLOOKUP(B72,Sheet1!$D$14:$P$299,54,0),"")</f>
        <v/>
      </c>
    </row>
    <row r="73" spans="1:6" x14ac:dyDescent="0.3">
      <c r="A73" s="1">
        <v>72</v>
      </c>
      <c r="C73" s="1" t="str">
        <f>IFERROR(VLOOKUP(B73,Sheet1!$D$14:$P$299,2,0),"")</f>
        <v/>
      </c>
      <c r="D73" s="1" t="str">
        <f>IFERROR(VLOOKUP(B73,Sheet1!$D$14:$P$299,3,0),"")</f>
        <v/>
      </c>
      <c r="E73" s="1" t="str">
        <f>IFERROR(VLOOKUP(B73,Sheet1!$D$14:$P$299,4,0),"")</f>
        <v/>
      </c>
      <c r="F73" s="1" t="str">
        <f>IFERROR(VLOOKUP(B73,Sheet1!$D$14:$P$299,54,0),"")</f>
        <v/>
      </c>
    </row>
    <row r="74" spans="1:6" x14ac:dyDescent="0.3">
      <c r="A74" s="1">
        <v>73</v>
      </c>
      <c r="C74" s="1" t="str">
        <f>IFERROR(VLOOKUP(B74,Sheet1!$D$14:$P$299,2,0),"")</f>
        <v/>
      </c>
      <c r="D74" s="1" t="str">
        <f>IFERROR(VLOOKUP(B74,Sheet1!$D$14:$P$299,3,0),"")</f>
        <v/>
      </c>
      <c r="E74" s="1" t="str">
        <f>IFERROR(VLOOKUP(B74,Sheet1!$D$14:$P$299,4,0),"")</f>
        <v/>
      </c>
      <c r="F74" s="1" t="str">
        <f>IFERROR(VLOOKUP(B74,Sheet1!$D$14:$P$299,54,0),"")</f>
        <v/>
      </c>
    </row>
    <row r="75" spans="1:6" x14ac:dyDescent="0.3">
      <c r="A75" s="1">
        <v>74</v>
      </c>
      <c r="C75" s="1" t="str">
        <f>IFERROR(VLOOKUP(B75,Sheet1!$D$14:$P$299,2,0),"")</f>
        <v/>
      </c>
      <c r="D75" s="1" t="str">
        <f>IFERROR(VLOOKUP(B75,Sheet1!$D$14:$P$299,3,0),"")</f>
        <v/>
      </c>
      <c r="E75" s="1" t="str">
        <f>IFERROR(VLOOKUP(B75,Sheet1!$D$14:$P$299,4,0),"")</f>
        <v/>
      </c>
      <c r="F75" s="1" t="str">
        <f>IFERROR(VLOOKUP(B75,Sheet1!$D$14:$P$299,54,0),"")</f>
        <v/>
      </c>
    </row>
    <row r="76" spans="1:6" x14ac:dyDescent="0.3">
      <c r="A76" s="1">
        <v>75</v>
      </c>
      <c r="C76" s="1" t="str">
        <f>IFERROR(VLOOKUP(B76,Sheet1!$D$14:$P$299,2,0),"")</f>
        <v/>
      </c>
      <c r="D76" s="1" t="str">
        <f>IFERROR(VLOOKUP(B76,Sheet1!$D$14:$P$299,3,0),"")</f>
        <v/>
      </c>
      <c r="E76" s="1" t="str">
        <f>IFERROR(VLOOKUP(B76,Sheet1!$D$14:$P$299,4,0),"")</f>
        <v/>
      </c>
      <c r="F76" s="1" t="str">
        <f>IFERROR(VLOOKUP(B76,Sheet1!$D$14:$P$299,54,0),"")</f>
        <v/>
      </c>
    </row>
    <row r="77" spans="1:6" x14ac:dyDescent="0.3">
      <c r="A77" s="1">
        <v>76</v>
      </c>
      <c r="C77" s="1" t="str">
        <f>IFERROR(VLOOKUP(B77,Sheet1!$D$14:$P$299,2,0),"")</f>
        <v/>
      </c>
      <c r="D77" s="1" t="str">
        <f>IFERROR(VLOOKUP(B77,Sheet1!$D$14:$P$299,3,0),"")</f>
        <v/>
      </c>
      <c r="E77" s="1" t="str">
        <f>IFERROR(VLOOKUP(B77,Sheet1!$D$14:$P$299,4,0),"")</f>
        <v/>
      </c>
      <c r="F77" s="1" t="str">
        <f>IFERROR(VLOOKUP(B77,Sheet1!$D$14:$P$299,54,0),"")</f>
        <v/>
      </c>
    </row>
    <row r="78" spans="1:6" x14ac:dyDescent="0.3">
      <c r="A78" s="1">
        <v>77</v>
      </c>
      <c r="C78" s="1" t="str">
        <f>IFERROR(VLOOKUP(B78,Sheet1!$D$14:$P$299,2,0),"")</f>
        <v/>
      </c>
      <c r="D78" s="1" t="str">
        <f>IFERROR(VLOOKUP(B78,Sheet1!$D$14:$P$299,3,0),"")</f>
        <v/>
      </c>
      <c r="E78" s="1" t="str">
        <f>IFERROR(VLOOKUP(B78,Sheet1!$D$14:$P$299,4,0),"")</f>
        <v/>
      </c>
      <c r="F78" s="1" t="str">
        <f>IFERROR(VLOOKUP(B78,Sheet1!$D$14:$P$299,54,0),"")</f>
        <v/>
      </c>
    </row>
    <row r="79" spans="1:6" x14ac:dyDescent="0.3">
      <c r="A79" s="1">
        <v>78</v>
      </c>
      <c r="C79" s="1" t="str">
        <f>IFERROR(VLOOKUP(B79,Sheet1!$D$14:$P$299,2,0),"")</f>
        <v/>
      </c>
      <c r="D79" s="1" t="str">
        <f>IFERROR(VLOOKUP(B79,Sheet1!$D$14:$P$299,3,0),"")</f>
        <v/>
      </c>
      <c r="E79" s="1" t="str">
        <f>IFERROR(VLOOKUP(B79,Sheet1!$D$14:$P$299,4,0),"")</f>
        <v/>
      </c>
      <c r="F79" s="1" t="str">
        <f>IFERROR(VLOOKUP(B79,Sheet1!$D$14:$P$299,54,0),"")</f>
        <v/>
      </c>
    </row>
    <row r="80" spans="1:6" x14ac:dyDescent="0.3">
      <c r="A80" s="1">
        <v>79</v>
      </c>
      <c r="C80" s="1" t="str">
        <f>IFERROR(VLOOKUP(B80,Sheet1!$D$14:$P$299,2,0),"")</f>
        <v/>
      </c>
      <c r="D80" s="1" t="str">
        <f>IFERROR(VLOOKUP(B80,Sheet1!$D$14:$P$299,3,0),"")</f>
        <v/>
      </c>
      <c r="E80" s="1" t="str">
        <f>IFERROR(VLOOKUP(B80,Sheet1!$D$14:$P$299,4,0),"")</f>
        <v/>
      </c>
      <c r="F80" s="1" t="str">
        <f>IFERROR(VLOOKUP(B80,Sheet1!$D$14:$P$299,54,0),"")</f>
        <v/>
      </c>
    </row>
    <row r="81" spans="1:6" x14ac:dyDescent="0.3">
      <c r="A81" s="1">
        <v>80</v>
      </c>
      <c r="C81" s="1" t="str">
        <f>IFERROR(VLOOKUP(B81,Sheet1!$D$14:$P$299,2,0),"")</f>
        <v/>
      </c>
      <c r="D81" s="1" t="str">
        <f>IFERROR(VLOOKUP(B81,Sheet1!$D$14:$P$299,3,0),"")</f>
        <v/>
      </c>
      <c r="E81" s="1" t="str">
        <f>IFERROR(VLOOKUP(B81,Sheet1!$D$14:$P$299,4,0),"")</f>
        <v/>
      </c>
      <c r="F81" s="1" t="str">
        <f>IFERROR(VLOOKUP(B81,Sheet1!$D$14:$P$299,54,0),"")</f>
        <v/>
      </c>
    </row>
    <row r="82" spans="1:6" x14ac:dyDescent="0.3">
      <c r="A82" s="1">
        <v>81</v>
      </c>
      <c r="C82" s="1" t="str">
        <f>IFERROR(VLOOKUP(B82,Sheet1!$D$14:$P$299,2,0),"")</f>
        <v/>
      </c>
      <c r="D82" s="1" t="str">
        <f>IFERROR(VLOOKUP(B82,Sheet1!$D$14:$P$299,3,0),"")</f>
        <v/>
      </c>
      <c r="E82" s="1" t="str">
        <f>IFERROR(VLOOKUP(B82,Sheet1!$D$14:$P$299,4,0),"")</f>
        <v/>
      </c>
      <c r="F82" s="1" t="str">
        <f>IFERROR(VLOOKUP(B82,Sheet1!$D$14:$P$299,54,0),"")</f>
        <v/>
      </c>
    </row>
    <row r="83" spans="1:6" x14ac:dyDescent="0.3">
      <c r="A83" s="1">
        <v>82</v>
      </c>
      <c r="C83" s="1" t="str">
        <f>IFERROR(VLOOKUP(B83,Sheet1!$D$14:$P$299,2,0),"")</f>
        <v/>
      </c>
      <c r="D83" s="1" t="str">
        <f>IFERROR(VLOOKUP(B83,Sheet1!$D$14:$P$299,3,0),"")</f>
        <v/>
      </c>
      <c r="E83" s="1" t="str">
        <f>IFERROR(VLOOKUP(B83,Sheet1!$D$14:$P$299,4,0),"")</f>
        <v/>
      </c>
      <c r="F83" s="1" t="str">
        <f>IFERROR(VLOOKUP(B83,Sheet1!$D$14:$P$299,54,0),"")</f>
        <v/>
      </c>
    </row>
    <row r="84" spans="1:6" x14ac:dyDescent="0.3">
      <c r="A84" s="1">
        <v>83</v>
      </c>
      <c r="C84" s="1" t="str">
        <f>IFERROR(VLOOKUP(B84,Sheet1!$D$14:$P$299,2,0),"")</f>
        <v/>
      </c>
      <c r="D84" s="1" t="str">
        <f>IFERROR(VLOOKUP(B84,Sheet1!$D$14:$P$299,3,0),"")</f>
        <v/>
      </c>
      <c r="E84" s="1" t="str">
        <f>IFERROR(VLOOKUP(B84,Sheet1!$D$14:$P$299,4,0),"")</f>
        <v/>
      </c>
      <c r="F84" s="1" t="str">
        <f>IFERROR(VLOOKUP(B84,Sheet1!$D$14:$P$299,54,0),"")</f>
        <v/>
      </c>
    </row>
    <row r="85" spans="1:6" x14ac:dyDescent="0.3">
      <c r="A85" s="1">
        <v>84</v>
      </c>
      <c r="C85" s="1" t="str">
        <f>IFERROR(VLOOKUP(B85,Sheet1!$D$14:$P$299,2,0),"")</f>
        <v/>
      </c>
      <c r="D85" s="1" t="str">
        <f>IFERROR(VLOOKUP(B85,Sheet1!$D$14:$P$299,3,0),"")</f>
        <v/>
      </c>
      <c r="E85" s="1" t="str">
        <f>IFERROR(VLOOKUP(B85,Sheet1!$D$14:$P$299,4,0),"")</f>
        <v/>
      </c>
      <c r="F85" s="1" t="str">
        <f>IFERROR(VLOOKUP(B85,Sheet1!$D$14:$P$299,54,0),"")</f>
        <v/>
      </c>
    </row>
    <row r="86" spans="1:6" x14ac:dyDescent="0.3">
      <c r="A86" s="1">
        <v>85</v>
      </c>
      <c r="C86" s="1" t="str">
        <f>IFERROR(VLOOKUP(B86,Sheet1!$D$14:$P$299,2,0),"")</f>
        <v/>
      </c>
      <c r="D86" s="1" t="str">
        <f>IFERROR(VLOOKUP(B86,Sheet1!$D$14:$P$299,3,0),"")</f>
        <v/>
      </c>
      <c r="E86" s="1" t="str">
        <f>IFERROR(VLOOKUP(B86,Sheet1!$D$14:$P$299,4,0),"")</f>
        <v/>
      </c>
      <c r="F86" s="1" t="str">
        <f>IFERROR(VLOOKUP(B86,Sheet1!$D$14:$P$299,54,0),"")</f>
        <v/>
      </c>
    </row>
    <row r="87" spans="1:6" x14ac:dyDescent="0.3">
      <c r="A87" s="1">
        <v>86</v>
      </c>
      <c r="C87" s="1" t="str">
        <f>IFERROR(VLOOKUP(B87,Sheet1!$D$14:$P$299,2,0),"")</f>
        <v/>
      </c>
      <c r="D87" s="1" t="str">
        <f>IFERROR(VLOOKUP(B87,Sheet1!$D$14:$P$299,3,0),"")</f>
        <v/>
      </c>
      <c r="E87" s="1" t="str">
        <f>IFERROR(VLOOKUP(B87,Sheet1!$D$14:$P$299,4,0),"")</f>
        <v/>
      </c>
      <c r="F87" s="1" t="str">
        <f>IFERROR(VLOOKUP(B87,Sheet1!$D$14:$P$299,54,0),"")</f>
        <v/>
      </c>
    </row>
    <row r="88" spans="1:6" x14ac:dyDescent="0.3">
      <c r="A88" s="1">
        <v>87</v>
      </c>
      <c r="C88" s="1" t="str">
        <f>IFERROR(VLOOKUP(B88,Sheet1!$D$14:$P$299,2,0),"")</f>
        <v/>
      </c>
      <c r="D88" s="1" t="str">
        <f>IFERROR(VLOOKUP(B88,Sheet1!$D$14:$P$299,3,0),"")</f>
        <v/>
      </c>
      <c r="E88" s="1" t="str">
        <f>IFERROR(VLOOKUP(B88,Sheet1!$D$14:$P$299,4,0),"")</f>
        <v/>
      </c>
      <c r="F88" s="1" t="str">
        <f>IFERROR(VLOOKUP(B88,Sheet1!$D$14:$P$299,54,0),"")</f>
        <v/>
      </c>
    </row>
    <row r="89" spans="1:6" x14ac:dyDescent="0.3">
      <c r="A89" s="1">
        <v>88</v>
      </c>
      <c r="C89" s="1" t="str">
        <f>IFERROR(VLOOKUP(B89,Sheet1!$D$14:$P$299,2,0),"")</f>
        <v/>
      </c>
      <c r="D89" s="1" t="str">
        <f>IFERROR(VLOOKUP(B89,Sheet1!$D$14:$P$299,3,0),"")</f>
        <v/>
      </c>
      <c r="E89" s="1" t="str">
        <f>IFERROR(VLOOKUP(B89,Sheet1!$D$14:$P$299,4,0),"")</f>
        <v/>
      </c>
      <c r="F89" s="1" t="str">
        <f>IFERROR(VLOOKUP(B89,Sheet1!$D$14:$P$299,54,0),"")</f>
        <v/>
      </c>
    </row>
    <row r="90" spans="1:6" x14ac:dyDescent="0.3">
      <c r="A90" s="1">
        <v>89</v>
      </c>
      <c r="C90" s="1" t="str">
        <f>IFERROR(VLOOKUP(B90,Sheet1!$D$14:$P$299,2,0),"")</f>
        <v/>
      </c>
      <c r="D90" s="1" t="str">
        <f>IFERROR(VLOOKUP(B90,Sheet1!$D$14:$P$299,3,0),"")</f>
        <v/>
      </c>
      <c r="E90" s="1" t="str">
        <f>IFERROR(VLOOKUP(B90,Sheet1!$D$14:$P$299,4,0),"")</f>
        <v/>
      </c>
      <c r="F90" s="1" t="str">
        <f>IFERROR(VLOOKUP(B90,Sheet1!$D$14:$P$299,54,0),"")</f>
        <v/>
      </c>
    </row>
    <row r="91" spans="1:6" x14ac:dyDescent="0.3">
      <c r="A91" s="1">
        <v>90</v>
      </c>
      <c r="C91" s="1" t="str">
        <f>IFERROR(VLOOKUP(B91,Sheet1!$D$14:$P$299,2,0),"")</f>
        <v/>
      </c>
      <c r="D91" s="1" t="str">
        <f>IFERROR(VLOOKUP(B91,Sheet1!$D$14:$P$299,3,0),"")</f>
        <v/>
      </c>
      <c r="E91" s="1" t="str">
        <f>IFERROR(VLOOKUP(B91,Sheet1!$D$14:$P$299,4,0),"")</f>
        <v/>
      </c>
      <c r="F91" s="1" t="str">
        <f>IFERROR(VLOOKUP(B91,Sheet1!$D$14:$P$299,54,0),"")</f>
        <v/>
      </c>
    </row>
    <row r="92" spans="1:6" x14ac:dyDescent="0.3">
      <c r="A92" s="1">
        <v>91</v>
      </c>
      <c r="C92" s="1" t="str">
        <f>IFERROR(VLOOKUP(B92,Sheet1!$D$14:$P$299,2,0),"")</f>
        <v/>
      </c>
      <c r="D92" s="1" t="str">
        <f>IFERROR(VLOOKUP(B92,Sheet1!$D$14:$P$299,3,0),"")</f>
        <v/>
      </c>
      <c r="E92" s="1" t="str">
        <f>IFERROR(VLOOKUP(B92,Sheet1!$D$14:$P$299,4,0),"")</f>
        <v/>
      </c>
      <c r="F92" s="1" t="str">
        <f>IFERROR(VLOOKUP(B92,Sheet1!$D$14:$P$299,54,0),"")</f>
        <v/>
      </c>
    </row>
    <row r="93" spans="1:6" x14ac:dyDescent="0.3">
      <c r="A93" s="1">
        <v>92</v>
      </c>
      <c r="C93" s="1" t="str">
        <f>IFERROR(VLOOKUP(B93,Sheet1!$D$14:$P$299,2,0),"")</f>
        <v/>
      </c>
      <c r="D93" s="1" t="str">
        <f>IFERROR(VLOOKUP(B93,Sheet1!$D$14:$P$299,3,0),"")</f>
        <v/>
      </c>
      <c r="E93" s="1" t="str">
        <f>IFERROR(VLOOKUP(B93,Sheet1!$D$14:$P$299,4,0),"")</f>
        <v/>
      </c>
      <c r="F93" s="1" t="str">
        <f>IFERROR(VLOOKUP(B93,Sheet1!$D$14:$P$299,54,0),"")</f>
        <v/>
      </c>
    </row>
    <row r="94" spans="1:6" x14ac:dyDescent="0.3">
      <c r="A94" s="1">
        <v>93</v>
      </c>
      <c r="C94" s="1" t="str">
        <f>IFERROR(VLOOKUP(B94,Sheet1!$D$14:$P$299,2,0),"")</f>
        <v/>
      </c>
      <c r="D94" s="1" t="str">
        <f>IFERROR(VLOOKUP(B94,Sheet1!$D$14:$P$299,3,0),"")</f>
        <v/>
      </c>
      <c r="E94" s="1" t="str">
        <f>IFERROR(VLOOKUP(B94,Sheet1!$D$14:$P$299,4,0),"")</f>
        <v/>
      </c>
      <c r="F94" s="1" t="str">
        <f>IFERROR(VLOOKUP(B94,Sheet1!$D$14:$P$299,54,0),"")</f>
        <v/>
      </c>
    </row>
    <row r="95" spans="1:6" x14ac:dyDescent="0.3">
      <c r="A95" s="1">
        <v>94</v>
      </c>
      <c r="C95" s="1" t="str">
        <f>IFERROR(VLOOKUP(B95,Sheet1!$D$14:$P$299,2,0),"")</f>
        <v/>
      </c>
      <c r="D95" s="1" t="str">
        <f>IFERROR(VLOOKUP(B95,Sheet1!$D$14:$P$299,3,0),"")</f>
        <v/>
      </c>
      <c r="E95" s="1" t="str">
        <f>IFERROR(VLOOKUP(B95,Sheet1!$D$14:$P$299,4,0),"")</f>
        <v/>
      </c>
      <c r="F95" s="1" t="str">
        <f>IFERROR(VLOOKUP(B95,Sheet1!$D$14:$P$299,54,0),"")</f>
        <v/>
      </c>
    </row>
    <row r="96" spans="1:6" x14ac:dyDescent="0.3">
      <c r="A96" s="1">
        <v>95</v>
      </c>
      <c r="C96" s="1" t="str">
        <f>IFERROR(VLOOKUP(B96,Sheet1!$D$14:$P$299,2,0),"")</f>
        <v/>
      </c>
      <c r="D96" s="1" t="str">
        <f>IFERROR(VLOOKUP(B96,Sheet1!$D$14:$P$299,3,0),"")</f>
        <v/>
      </c>
      <c r="E96" s="1" t="str">
        <f>IFERROR(VLOOKUP(B96,Sheet1!$D$14:$P$299,4,0),"")</f>
        <v/>
      </c>
      <c r="F96" s="1" t="str">
        <f>IFERROR(VLOOKUP(B96,Sheet1!$D$14:$P$299,54,0),"")</f>
        <v/>
      </c>
    </row>
    <row r="97" spans="1:6" x14ac:dyDescent="0.3">
      <c r="A97" s="1">
        <v>96</v>
      </c>
      <c r="C97" s="1" t="str">
        <f>IFERROR(VLOOKUP(B97,Sheet1!$D$14:$P$299,2,0),"")</f>
        <v/>
      </c>
      <c r="D97" s="1" t="str">
        <f>IFERROR(VLOOKUP(B97,Sheet1!$D$14:$P$299,3,0),"")</f>
        <v/>
      </c>
      <c r="E97" s="1" t="str">
        <f>IFERROR(VLOOKUP(B97,Sheet1!$D$14:$P$299,4,0),"")</f>
        <v/>
      </c>
      <c r="F97" s="1" t="str">
        <f>IFERROR(VLOOKUP(B97,Sheet1!$D$14:$P$299,54,0),"")</f>
        <v/>
      </c>
    </row>
    <row r="98" spans="1:6" x14ac:dyDescent="0.3">
      <c r="A98" s="1">
        <v>97</v>
      </c>
      <c r="C98" s="1" t="str">
        <f>IFERROR(VLOOKUP(B98,Sheet1!$D$14:$P$299,2,0),"")</f>
        <v/>
      </c>
      <c r="D98" s="1" t="str">
        <f>IFERROR(VLOOKUP(B98,Sheet1!$D$14:$P$299,3,0),"")</f>
        <v/>
      </c>
      <c r="E98" s="1" t="str">
        <f>IFERROR(VLOOKUP(B98,Sheet1!$D$14:$P$299,4,0),"")</f>
        <v/>
      </c>
      <c r="F98" s="1" t="str">
        <f>IFERROR(VLOOKUP(B98,Sheet1!$D$14:$P$299,54,0),"")</f>
        <v/>
      </c>
    </row>
    <row r="99" spans="1:6" x14ac:dyDescent="0.3">
      <c r="A99" s="1">
        <v>98</v>
      </c>
      <c r="C99" s="1" t="str">
        <f>IFERROR(VLOOKUP(B99,Sheet1!$D$14:$P$299,2,0),"")</f>
        <v/>
      </c>
      <c r="D99" s="1" t="str">
        <f>IFERROR(VLOOKUP(B99,Sheet1!$D$14:$P$299,3,0),"")</f>
        <v/>
      </c>
      <c r="E99" s="1" t="str">
        <f>IFERROR(VLOOKUP(B99,Sheet1!$D$14:$P$299,4,0),"")</f>
        <v/>
      </c>
      <c r="F99" s="1" t="str">
        <f>IFERROR(VLOOKUP(B99,Sheet1!$D$14:$P$299,54,0),"")</f>
        <v/>
      </c>
    </row>
    <row r="100" spans="1:6" x14ac:dyDescent="0.3">
      <c r="A100" s="1">
        <v>99</v>
      </c>
      <c r="C100" s="1" t="str">
        <f>IFERROR(VLOOKUP(B100,Sheet1!$D$14:$P$299,2,0),"")</f>
        <v/>
      </c>
      <c r="D100" s="1" t="str">
        <f>IFERROR(VLOOKUP(B100,Sheet1!$D$14:$P$299,3,0),"")</f>
        <v/>
      </c>
      <c r="E100" s="1" t="str">
        <f>IFERROR(VLOOKUP(B100,Sheet1!$D$14:$P$299,4,0),"")</f>
        <v/>
      </c>
      <c r="F100" s="1" t="str">
        <f>IFERROR(VLOOKUP(B100,Sheet1!$D$14:$P$299,54,0),"")</f>
        <v/>
      </c>
    </row>
    <row r="101" spans="1:6" x14ac:dyDescent="0.3">
      <c r="A101" s="1">
        <v>100</v>
      </c>
      <c r="C101" s="1" t="str">
        <f>IFERROR(VLOOKUP(B101,Sheet1!$D$14:$P$299,2,0),"")</f>
        <v/>
      </c>
      <c r="D101" s="1" t="str">
        <f>IFERROR(VLOOKUP(B101,Sheet1!$D$14:$P$299,3,0),"")</f>
        <v/>
      </c>
      <c r="E101" s="1" t="str">
        <f>IFERROR(VLOOKUP(B101,Sheet1!$D$14:$P$299,4,0),"")</f>
        <v/>
      </c>
      <c r="F101" s="1" t="str">
        <f>IFERROR(VLOOKUP(B101,Sheet1!$D$14:$P$299,54,0),"")</f>
        <v/>
      </c>
    </row>
    <row r="102" spans="1:6" x14ac:dyDescent="0.3">
      <c r="A102" s="1">
        <v>101</v>
      </c>
      <c r="C102" s="1" t="str">
        <f>IFERROR(VLOOKUP(B102,Sheet1!$D$14:$P$299,2,0),"")</f>
        <v/>
      </c>
      <c r="D102" s="1" t="str">
        <f>IFERROR(VLOOKUP(B102,Sheet1!$D$14:$P$299,3,0),"")</f>
        <v/>
      </c>
      <c r="E102" s="1" t="str">
        <f>IFERROR(VLOOKUP(B102,Sheet1!$D$14:$P$299,4,0),"")</f>
        <v/>
      </c>
      <c r="F102" s="1" t="str">
        <f>IFERROR(VLOOKUP(B102,Sheet1!$D$14:$P$299,54,0),"")</f>
        <v/>
      </c>
    </row>
    <row r="103" spans="1:6" x14ac:dyDescent="0.3">
      <c r="A103" s="1">
        <v>102</v>
      </c>
      <c r="C103" s="1" t="str">
        <f>IFERROR(VLOOKUP(B103,Sheet1!$D$14:$P$299,2,0),"")</f>
        <v/>
      </c>
      <c r="D103" s="1" t="str">
        <f>IFERROR(VLOOKUP(B103,Sheet1!$D$14:$P$299,3,0),"")</f>
        <v/>
      </c>
      <c r="E103" s="1" t="str">
        <f>IFERROR(VLOOKUP(B103,Sheet1!$D$14:$P$299,4,0),"")</f>
        <v/>
      </c>
      <c r="F103" s="1" t="str">
        <f>IFERROR(VLOOKUP(B103,Sheet1!$D$14:$P$299,54,0),"")</f>
        <v/>
      </c>
    </row>
    <row r="104" spans="1:6" x14ac:dyDescent="0.3">
      <c r="A104" s="1">
        <v>103</v>
      </c>
      <c r="C104" s="1" t="str">
        <f>IFERROR(VLOOKUP(B104,Sheet1!$D$14:$P$299,2,0),"")</f>
        <v/>
      </c>
      <c r="D104" s="1" t="str">
        <f>IFERROR(VLOOKUP(B104,Sheet1!$D$14:$P$299,3,0),"")</f>
        <v/>
      </c>
      <c r="E104" s="1" t="str">
        <f>IFERROR(VLOOKUP(B104,Sheet1!$D$14:$P$299,4,0),"")</f>
        <v/>
      </c>
      <c r="F104" s="1" t="str">
        <f>IFERROR(VLOOKUP(B104,Sheet1!$D$14:$P$299,54,0),"")</f>
        <v/>
      </c>
    </row>
    <row r="105" spans="1:6" x14ac:dyDescent="0.3">
      <c r="A105" s="1">
        <v>104</v>
      </c>
      <c r="C105" s="1" t="str">
        <f>IFERROR(VLOOKUP(B105,Sheet1!$D$14:$P$299,2,0),"")</f>
        <v/>
      </c>
      <c r="D105" s="1" t="str">
        <f>IFERROR(VLOOKUP(B105,Sheet1!$D$14:$P$299,3,0),"")</f>
        <v/>
      </c>
      <c r="E105" s="1" t="str">
        <f>IFERROR(VLOOKUP(B105,Sheet1!$D$14:$P$299,4,0),"")</f>
        <v/>
      </c>
      <c r="F105" s="1" t="str">
        <f>IFERROR(VLOOKUP(B105,Sheet1!$D$14:$P$299,54,0),"")</f>
        <v/>
      </c>
    </row>
    <row r="106" spans="1:6" x14ac:dyDescent="0.3">
      <c r="A106" s="1">
        <v>105</v>
      </c>
      <c r="C106" s="1" t="str">
        <f>IFERROR(VLOOKUP(B106,Sheet1!$D$14:$P$299,2,0),"")</f>
        <v/>
      </c>
      <c r="D106" s="1" t="str">
        <f>IFERROR(VLOOKUP(B106,Sheet1!$D$14:$P$299,3,0),"")</f>
        <v/>
      </c>
      <c r="E106" s="1" t="str">
        <f>IFERROR(VLOOKUP(B106,Sheet1!$D$14:$P$299,4,0),"")</f>
        <v/>
      </c>
      <c r="F106" s="1" t="str">
        <f>IFERROR(VLOOKUP(B106,Sheet1!$D$14:$P$299,54,0),"")</f>
        <v/>
      </c>
    </row>
    <row r="107" spans="1:6" x14ac:dyDescent="0.3">
      <c r="A107" s="1">
        <v>106</v>
      </c>
      <c r="C107" s="1" t="str">
        <f>IFERROR(VLOOKUP(B107,Sheet1!$D$14:$P$299,2,0),"")</f>
        <v/>
      </c>
      <c r="D107" s="1" t="str">
        <f>IFERROR(VLOOKUP(B107,Sheet1!$D$14:$P$299,3,0),"")</f>
        <v/>
      </c>
      <c r="E107" s="1" t="str">
        <f>IFERROR(VLOOKUP(B107,Sheet1!$D$14:$P$299,4,0),"")</f>
        <v/>
      </c>
      <c r="F107" s="1" t="str">
        <f>IFERROR(VLOOKUP(B107,Sheet1!$D$14:$P$299,54,0),"")</f>
        <v/>
      </c>
    </row>
    <row r="108" spans="1:6" x14ac:dyDescent="0.3">
      <c r="A108" s="1">
        <v>107</v>
      </c>
      <c r="C108" s="1" t="str">
        <f>IFERROR(VLOOKUP(B108,Sheet1!$D$14:$P$299,2,0),"")</f>
        <v/>
      </c>
      <c r="D108" s="1" t="str">
        <f>IFERROR(VLOOKUP(B108,Sheet1!$D$14:$P$299,3,0),"")</f>
        <v/>
      </c>
      <c r="E108" s="1" t="str">
        <f>IFERROR(VLOOKUP(B108,Sheet1!$D$14:$P$299,4,0),"")</f>
        <v/>
      </c>
      <c r="F108" s="1" t="str">
        <f>IFERROR(VLOOKUP(B108,Sheet1!$D$14:$P$299,54,0),"")</f>
        <v/>
      </c>
    </row>
    <row r="109" spans="1:6" x14ac:dyDescent="0.3">
      <c r="A109" s="1">
        <v>108</v>
      </c>
      <c r="C109" s="1" t="str">
        <f>IFERROR(VLOOKUP(B109,Sheet1!$D$14:$P$299,2,0),"")</f>
        <v/>
      </c>
      <c r="D109" s="1" t="str">
        <f>IFERROR(VLOOKUP(B109,Sheet1!$D$14:$P$299,3,0),"")</f>
        <v/>
      </c>
      <c r="E109" s="1" t="str">
        <f>IFERROR(VLOOKUP(B109,Sheet1!$D$14:$P$299,4,0),"")</f>
        <v/>
      </c>
      <c r="F109" s="1" t="str">
        <f>IFERROR(VLOOKUP(B109,Sheet1!$D$14:$P$299,54,0),"")</f>
        <v/>
      </c>
    </row>
    <row r="110" spans="1:6" x14ac:dyDescent="0.3">
      <c r="A110" s="1">
        <v>109</v>
      </c>
      <c r="C110" s="1" t="str">
        <f>IFERROR(VLOOKUP(B110,Sheet1!$D$14:$P$299,2,0),"")</f>
        <v/>
      </c>
      <c r="D110" s="1" t="str">
        <f>IFERROR(VLOOKUP(B110,Sheet1!$D$14:$P$299,3,0),"")</f>
        <v/>
      </c>
      <c r="E110" s="1" t="str">
        <f>IFERROR(VLOOKUP(B110,Sheet1!$D$14:$P$299,4,0),"")</f>
        <v/>
      </c>
      <c r="F110" s="1" t="str">
        <f>IFERROR(VLOOKUP(B110,Sheet1!$D$14:$P$299,54,0),"")</f>
        <v/>
      </c>
    </row>
    <row r="111" spans="1:6" x14ac:dyDescent="0.3">
      <c r="A111" s="1">
        <v>110</v>
      </c>
      <c r="C111" s="1" t="str">
        <f>IFERROR(VLOOKUP(B111,Sheet1!$D$14:$P$299,2,0),"")</f>
        <v/>
      </c>
      <c r="D111" s="1" t="str">
        <f>IFERROR(VLOOKUP(B111,Sheet1!$D$14:$P$299,3,0),"")</f>
        <v/>
      </c>
      <c r="E111" s="1" t="str">
        <f>IFERROR(VLOOKUP(B111,Sheet1!$D$14:$P$299,4,0),"")</f>
        <v/>
      </c>
      <c r="F111" s="1" t="str">
        <f>IFERROR(VLOOKUP(B111,Sheet1!$D$14:$P$299,54,0),"")</f>
        <v/>
      </c>
    </row>
    <row r="112" spans="1:6" x14ac:dyDescent="0.3">
      <c r="A112" s="1">
        <v>111</v>
      </c>
      <c r="C112" s="1" t="str">
        <f>IFERROR(VLOOKUP(B112,Sheet1!$D$14:$P$299,2,0),"")</f>
        <v/>
      </c>
      <c r="D112" s="1" t="str">
        <f>IFERROR(VLOOKUP(B112,Sheet1!$D$14:$P$299,3,0),"")</f>
        <v/>
      </c>
      <c r="E112" s="1" t="str">
        <f>IFERROR(VLOOKUP(B112,Sheet1!$D$14:$P$299,4,0),"")</f>
        <v/>
      </c>
      <c r="F112" s="1" t="str">
        <f>IFERROR(VLOOKUP(B112,Sheet1!$D$14:$P$299,54,0),"")</f>
        <v/>
      </c>
    </row>
    <row r="113" spans="1:6" x14ac:dyDescent="0.3">
      <c r="A113" s="1">
        <v>112</v>
      </c>
      <c r="C113" s="1" t="str">
        <f>IFERROR(VLOOKUP(B113,Sheet1!$D$14:$P$299,2,0),"")</f>
        <v/>
      </c>
      <c r="D113" s="1" t="str">
        <f>IFERROR(VLOOKUP(B113,Sheet1!$D$14:$P$299,3,0),"")</f>
        <v/>
      </c>
      <c r="E113" s="1" t="str">
        <f>IFERROR(VLOOKUP(B113,Sheet1!$D$14:$P$299,4,0),"")</f>
        <v/>
      </c>
      <c r="F113" s="1" t="str">
        <f>IFERROR(VLOOKUP(B113,Sheet1!$D$14:$P$299,54,0),"")</f>
        <v/>
      </c>
    </row>
    <row r="114" spans="1:6" x14ac:dyDescent="0.3">
      <c r="A114" s="1">
        <v>113</v>
      </c>
      <c r="C114" s="1" t="str">
        <f>IFERROR(VLOOKUP(B114,Sheet1!$D$14:$P$299,2,0),"")</f>
        <v/>
      </c>
      <c r="D114" s="1" t="str">
        <f>IFERROR(VLOOKUP(B114,Sheet1!$D$14:$P$299,3,0),"")</f>
        <v/>
      </c>
      <c r="E114" s="1" t="str">
        <f>IFERROR(VLOOKUP(B114,Sheet1!$D$14:$P$299,4,0),"")</f>
        <v/>
      </c>
      <c r="F114" s="1" t="str">
        <f>IFERROR(VLOOKUP(B114,Sheet1!$D$14:$P$299,54,0),"")</f>
        <v/>
      </c>
    </row>
    <row r="115" spans="1:6" x14ac:dyDescent="0.3">
      <c r="A115" s="1">
        <v>114</v>
      </c>
      <c r="C115" s="1" t="str">
        <f>IFERROR(VLOOKUP(B115,Sheet1!$D$14:$P$299,2,0),"")</f>
        <v/>
      </c>
      <c r="D115" s="1" t="str">
        <f>IFERROR(VLOOKUP(B115,Sheet1!$D$14:$P$299,3,0),"")</f>
        <v/>
      </c>
      <c r="E115" s="1" t="str">
        <f>IFERROR(VLOOKUP(B115,Sheet1!$D$14:$P$299,4,0),"")</f>
        <v/>
      </c>
      <c r="F115" s="1" t="str">
        <f>IFERROR(VLOOKUP(B115,Sheet1!$D$14:$P$299,54,0),"")</f>
        <v/>
      </c>
    </row>
    <row r="116" spans="1:6" x14ac:dyDescent="0.3">
      <c r="A116" s="1">
        <v>115</v>
      </c>
      <c r="C116" s="1" t="str">
        <f>IFERROR(VLOOKUP(B116,Sheet1!$D$14:$P$299,2,0),"")</f>
        <v/>
      </c>
      <c r="D116" s="1" t="str">
        <f>IFERROR(VLOOKUP(B116,Sheet1!$D$14:$P$299,3,0),"")</f>
        <v/>
      </c>
      <c r="E116" s="1" t="str">
        <f>IFERROR(VLOOKUP(B116,Sheet1!$D$14:$P$299,4,0),"")</f>
        <v/>
      </c>
      <c r="F116" s="1" t="str">
        <f>IFERROR(VLOOKUP(B116,Sheet1!$D$14:$P$299,54,0),"")</f>
        <v/>
      </c>
    </row>
    <row r="117" spans="1:6" x14ac:dyDescent="0.3">
      <c r="A117" s="1">
        <v>116</v>
      </c>
      <c r="C117" s="1" t="str">
        <f>IFERROR(VLOOKUP(B117,Sheet1!$D$14:$P$299,2,0),"")</f>
        <v/>
      </c>
      <c r="D117" s="1" t="str">
        <f>IFERROR(VLOOKUP(B117,Sheet1!$D$14:$P$299,3,0),"")</f>
        <v/>
      </c>
      <c r="E117" s="1" t="str">
        <f>IFERROR(VLOOKUP(B117,Sheet1!$D$14:$P$299,4,0),"")</f>
        <v/>
      </c>
      <c r="F117" s="1" t="str">
        <f>IFERROR(VLOOKUP(B117,Sheet1!$D$14:$P$299,54,0),"")</f>
        <v/>
      </c>
    </row>
    <row r="118" spans="1:6" x14ac:dyDescent="0.3">
      <c r="A118" s="1">
        <v>117</v>
      </c>
      <c r="C118" s="1" t="str">
        <f>IFERROR(VLOOKUP(B118,Sheet1!$D$14:$P$299,2,0),"")</f>
        <v/>
      </c>
      <c r="D118" s="1" t="str">
        <f>IFERROR(VLOOKUP(B118,Sheet1!$D$14:$P$299,3,0),"")</f>
        <v/>
      </c>
      <c r="E118" s="1" t="str">
        <f>IFERROR(VLOOKUP(B118,Sheet1!$D$14:$P$299,4,0),"")</f>
        <v/>
      </c>
      <c r="F118" s="1" t="str">
        <f>IFERROR(VLOOKUP(B118,Sheet1!$D$14:$P$299,54,0),"")</f>
        <v/>
      </c>
    </row>
    <row r="119" spans="1:6" x14ac:dyDescent="0.3">
      <c r="A119" s="1">
        <v>118</v>
      </c>
      <c r="C119" s="1" t="str">
        <f>IFERROR(VLOOKUP(B119,Sheet1!$D$14:$P$299,2,0),"")</f>
        <v/>
      </c>
      <c r="D119" s="1" t="str">
        <f>IFERROR(VLOOKUP(B119,Sheet1!$D$14:$P$299,3,0),"")</f>
        <v/>
      </c>
      <c r="E119" s="1" t="str">
        <f>IFERROR(VLOOKUP(B119,Sheet1!$D$14:$P$299,4,0),"")</f>
        <v/>
      </c>
      <c r="F119" s="1" t="str">
        <f>IFERROR(VLOOKUP(B119,Sheet1!$D$14:$P$299,54,0),"")</f>
        <v/>
      </c>
    </row>
    <row r="120" spans="1:6" x14ac:dyDescent="0.3">
      <c r="A120" s="1">
        <v>119</v>
      </c>
      <c r="C120" s="1" t="str">
        <f>IFERROR(VLOOKUP(B120,Sheet1!$D$14:$P$299,2,0),"")</f>
        <v/>
      </c>
      <c r="D120" s="1" t="str">
        <f>IFERROR(VLOOKUP(B120,Sheet1!$D$14:$P$299,3,0),"")</f>
        <v/>
      </c>
      <c r="E120" s="1" t="str">
        <f>IFERROR(VLOOKUP(B120,Sheet1!$D$14:$P$299,4,0),"")</f>
        <v/>
      </c>
      <c r="F120" s="1" t="str">
        <f>IFERROR(VLOOKUP(B120,Sheet1!$D$14:$P$299,54,0),"")</f>
        <v/>
      </c>
    </row>
    <row r="121" spans="1:6" x14ac:dyDescent="0.3">
      <c r="A121" s="1">
        <v>120</v>
      </c>
      <c r="C121" s="1" t="str">
        <f>IFERROR(VLOOKUP(B121,Sheet1!$D$14:$P$299,2,0),"")</f>
        <v/>
      </c>
      <c r="D121" s="1" t="str">
        <f>IFERROR(VLOOKUP(B121,Sheet1!$D$14:$P$299,3,0),"")</f>
        <v/>
      </c>
      <c r="E121" s="1" t="str">
        <f>IFERROR(VLOOKUP(B121,Sheet1!$D$14:$P$299,4,0),"")</f>
        <v/>
      </c>
      <c r="F121" s="1" t="str">
        <f>IFERROR(VLOOKUP(B121,Sheet1!$D$14:$P$299,54,0),"")</f>
        <v/>
      </c>
    </row>
    <row r="122" spans="1:6" x14ac:dyDescent="0.3">
      <c r="A122" s="1">
        <v>121</v>
      </c>
      <c r="C122" s="1" t="str">
        <f>IFERROR(VLOOKUP(B122,Sheet1!$D$14:$P$299,2,0),"")</f>
        <v/>
      </c>
      <c r="D122" s="1" t="str">
        <f>IFERROR(VLOOKUP(B122,Sheet1!$D$14:$P$299,3,0),"")</f>
        <v/>
      </c>
      <c r="E122" s="1" t="str">
        <f>IFERROR(VLOOKUP(B122,Sheet1!$D$14:$P$299,4,0),"")</f>
        <v/>
      </c>
      <c r="F122" s="1" t="str">
        <f>IFERROR(VLOOKUP(B122,Sheet1!$D$14:$P$299,54,0),"")</f>
        <v/>
      </c>
    </row>
    <row r="123" spans="1:6" x14ac:dyDescent="0.3">
      <c r="A123" s="1">
        <v>122</v>
      </c>
      <c r="C123" s="1" t="str">
        <f>IFERROR(VLOOKUP(B123,Sheet1!$D$14:$P$299,2,0),"")</f>
        <v/>
      </c>
      <c r="D123" s="1" t="str">
        <f>IFERROR(VLOOKUP(B123,Sheet1!$D$14:$P$299,3,0),"")</f>
        <v/>
      </c>
      <c r="E123" s="1" t="str">
        <f>IFERROR(VLOOKUP(B123,Sheet1!$D$14:$P$299,4,0),"")</f>
        <v/>
      </c>
      <c r="F123" s="1" t="str">
        <f>IFERROR(VLOOKUP(B123,Sheet1!$D$14:$P$299,54,0),"")</f>
        <v/>
      </c>
    </row>
    <row r="124" spans="1:6" x14ac:dyDescent="0.3">
      <c r="A124" s="1">
        <v>123</v>
      </c>
      <c r="C124" s="1" t="str">
        <f>IFERROR(VLOOKUP(B124,Sheet1!$D$14:$P$299,2,0),"")</f>
        <v/>
      </c>
      <c r="D124" s="1" t="str">
        <f>IFERROR(VLOOKUP(B124,Sheet1!$D$14:$P$299,3,0),"")</f>
        <v/>
      </c>
      <c r="E124" s="1" t="str">
        <f>IFERROR(VLOOKUP(B124,Sheet1!$D$14:$P$299,4,0),"")</f>
        <v/>
      </c>
      <c r="F124" s="1" t="str">
        <f>IFERROR(VLOOKUP(B124,Sheet1!$D$14:$P$299,54,0),"")</f>
        <v/>
      </c>
    </row>
    <row r="125" spans="1:6" x14ac:dyDescent="0.3">
      <c r="A125" s="1">
        <v>124</v>
      </c>
      <c r="C125" s="1" t="str">
        <f>IFERROR(VLOOKUP(B125,Sheet1!$D$14:$P$299,2,0),"")</f>
        <v/>
      </c>
      <c r="D125" s="1" t="str">
        <f>IFERROR(VLOOKUP(B125,Sheet1!$D$14:$P$299,3,0),"")</f>
        <v/>
      </c>
      <c r="E125" s="1" t="str">
        <f>IFERROR(VLOOKUP(B125,Sheet1!$D$14:$P$299,4,0),"")</f>
        <v/>
      </c>
      <c r="F125" s="1" t="str">
        <f>IFERROR(VLOOKUP(B125,Sheet1!$D$14:$P$299,54,0),"")</f>
        <v/>
      </c>
    </row>
    <row r="126" spans="1:6" x14ac:dyDescent="0.3">
      <c r="A126" s="1">
        <v>125</v>
      </c>
      <c r="C126" s="1" t="str">
        <f>IFERROR(VLOOKUP(B126,Sheet1!$D$14:$P$299,2,0),"")</f>
        <v/>
      </c>
      <c r="D126" s="1" t="str">
        <f>IFERROR(VLOOKUP(B126,Sheet1!$D$14:$P$299,3,0),"")</f>
        <v/>
      </c>
      <c r="E126" s="1" t="str">
        <f>IFERROR(VLOOKUP(B126,Sheet1!$D$14:$P$299,4,0),"")</f>
        <v/>
      </c>
      <c r="F126" s="1" t="str">
        <f>IFERROR(VLOOKUP(B126,Sheet1!$D$14:$P$299,54,0),"")</f>
        <v/>
      </c>
    </row>
    <row r="127" spans="1:6" x14ac:dyDescent="0.3">
      <c r="A127" s="1">
        <v>126</v>
      </c>
      <c r="C127" s="1" t="str">
        <f>IFERROR(VLOOKUP(B127,Sheet1!$D$14:$P$299,2,0),"")</f>
        <v/>
      </c>
      <c r="D127" s="1" t="str">
        <f>IFERROR(VLOOKUP(B127,Sheet1!$D$14:$P$299,3,0),"")</f>
        <v/>
      </c>
      <c r="E127" s="1" t="str">
        <f>IFERROR(VLOOKUP(B127,Sheet1!$D$14:$P$299,4,0),"")</f>
        <v/>
      </c>
      <c r="F127" s="1" t="str">
        <f>IFERROR(VLOOKUP(B127,Sheet1!$D$14:$P$299,54,0),"")</f>
        <v/>
      </c>
    </row>
    <row r="128" spans="1:6" x14ac:dyDescent="0.3">
      <c r="A128" s="1">
        <v>127</v>
      </c>
      <c r="C128" s="1" t="str">
        <f>IFERROR(VLOOKUP(B128,Sheet1!$D$14:$P$299,2,0),"")</f>
        <v/>
      </c>
      <c r="D128" s="1" t="str">
        <f>IFERROR(VLOOKUP(B128,Sheet1!$D$14:$P$299,3,0),"")</f>
        <v/>
      </c>
      <c r="E128" s="1" t="str">
        <f>IFERROR(VLOOKUP(B128,Sheet1!$D$14:$P$299,4,0),"")</f>
        <v/>
      </c>
      <c r="F128" s="1" t="str">
        <f>IFERROR(VLOOKUP(B128,Sheet1!$D$14:$P$299,54,0),"")</f>
        <v/>
      </c>
    </row>
    <row r="129" spans="1:6" x14ac:dyDescent="0.3">
      <c r="A129" s="1">
        <v>128</v>
      </c>
      <c r="C129" s="1" t="str">
        <f>IFERROR(VLOOKUP(B129,Sheet1!$D$14:$P$299,2,0),"")</f>
        <v/>
      </c>
      <c r="D129" s="1" t="str">
        <f>IFERROR(VLOOKUP(B129,Sheet1!$D$14:$P$299,3,0),"")</f>
        <v/>
      </c>
      <c r="E129" s="1" t="str">
        <f>IFERROR(VLOOKUP(B129,Sheet1!$D$14:$P$299,4,0),"")</f>
        <v/>
      </c>
      <c r="F129" s="1" t="str">
        <f>IFERROR(VLOOKUP(B129,Sheet1!$D$14:$P$299,54,0),"")</f>
        <v/>
      </c>
    </row>
    <row r="130" spans="1:6" x14ac:dyDescent="0.3">
      <c r="A130" s="1">
        <v>129</v>
      </c>
      <c r="C130" s="1" t="str">
        <f>IFERROR(VLOOKUP(B130,Sheet1!$D$14:$P$299,2,0),"")</f>
        <v/>
      </c>
      <c r="D130" s="1" t="str">
        <f>IFERROR(VLOOKUP(B130,Sheet1!$D$14:$P$299,3,0),"")</f>
        <v/>
      </c>
      <c r="E130" s="1" t="str">
        <f>IFERROR(VLOOKUP(B130,Sheet1!$D$14:$P$299,4,0),"")</f>
        <v/>
      </c>
      <c r="F130" s="1" t="str">
        <f>IFERROR(VLOOKUP(B130,Sheet1!$D$14:$P$299,54,0),"")</f>
        <v/>
      </c>
    </row>
    <row r="131" spans="1:6" x14ac:dyDescent="0.3">
      <c r="A131" s="1">
        <v>130</v>
      </c>
      <c r="C131" s="1" t="str">
        <f>IFERROR(VLOOKUP(B131,Sheet1!$D$14:$P$299,2,0),"")</f>
        <v/>
      </c>
      <c r="D131" s="1" t="str">
        <f>IFERROR(VLOOKUP(B131,Sheet1!$D$14:$P$299,3,0),"")</f>
        <v/>
      </c>
      <c r="E131" s="1" t="str">
        <f>IFERROR(VLOOKUP(B131,Sheet1!$D$14:$P$299,4,0),"")</f>
        <v/>
      </c>
      <c r="F131" s="1" t="str">
        <f>IFERROR(VLOOKUP(B131,Sheet1!$D$14:$P$299,54,0),"")</f>
        <v/>
      </c>
    </row>
    <row r="132" spans="1:6" x14ac:dyDescent="0.3">
      <c r="A132" s="1">
        <v>131</v>
      </c>
      <c r="C132" s="1" t="str">
        <f>IFERROR(VLOOKUP(B132,Sheet1!$D$14:$P$299,2,0),"")</f>
        <v/>
      </c>
      <c r="D132" s="1" t="str">
        <f>IFERROR(VLOOKUP(B132,Sheet1!$D$14:$P$299,3,0),"")</f>
        <v/>
      </c>
      <c r="E132" s="1" t="str">
        <f>IFERROR(VLOOKUP(B132,Sheet1!$D$14:$P$299,4,0),"")</f>
        <v/>
      </c>
      <c r="F132" s="1" t="str">
        <f>IFERROR(VLOOKUP(B132,Sheet1!$D$14:$P$299,54,0),"")</f>
        <v/>
      </c>
    </row>
    <row r="133" spans="1:6" x14ac:dyDescent="0.3">
      <c r="A133" s="1">
        <v>132</v>
      </c>
      <c r="C133" s="1" t="str">
        <f>IFERROR(VLOOKUP(B133,Sheet1!$D$14:$P$299,2,0),"")</f>
        <v/>
      </c>
      <c r="D133" s="1" t="str">
        <f>IFERROR(VLOOKUP(B133,Sheet1!$D$14:$P$299,3,0),"")</f>
        <v/>
      </c>
      <c r="E133" s="1" t="str">
        <f>IFERROR(VLOOKUP(B133,Sheet1!$D$14:$P$299,4,0),"")</f>
        <v/>
      </c>
      <c r="F133" s="1" t="str">
        <f>IFERROR(VLOOKUP(B133,Sheet1!$D$14:$P$299,54,0),"")</f>
        <v/>
      </c>
    </row>
    <row r="134" spans="1:6" x14ac:dyDescent="0.3">
      <c r="A134" s="1">
        <v>133</v>
      </c>
      <c r="C134" s="1" t="str">
        <f>IFERROR(VLOOKUP(B134,Sheet1!$D$14:$P$299,2,0),"")</f>
        <v/>
      </c>
      <c r="D134" s="1" t="str">
        <f>IFERROR(VLOOKUP(B134,Sheet1!$D$14:$P$299,3,0),"")</f>
        <v/>
      </c>
      <c r="E134" s="1" t="str">
        <f>IFERROR(VLOOKUP(B134,Sheet1!$D$14:$P$299,4,0),"")</f>
        <v/>
      </c>
      <c r="F134" s="1" t="str">
        <f>IFERROR(VLOOKUP(B134,Sheet1!$D$14:$P$299,54,0),"")</f>
        <v/>
      </c>
    </row>
    <row r="135" spans="1:6" x14ac:dyDescent="0.3">
      <c r="A135" s="1">
        <v>134</v>
      </c>
      <c r="C135" s="1" t="str">
        <f>IFERROR(VLOOKUP(B135,Sheet1!$D$14:$P$299,2,0),"")</f>
        <v/>
      </c>
      <c r="D135" s="1" t="str">
        <f>IFERROR(VLOOKUP(B135,Sheet1!$D$14:$P$299,3,0),"")</f>
        <v/>
      </c>
      <c r="E135" s="1" t="str">
        <f>IFERROR(VLOOKUP(B135,Sheet1!$D$14:$P$299,4,0),"")</f>
        <v/>
      </c>
      <c r="F135" s="1" t="str">
        <f>IFERROR(VLOOKUP(B135,Sheet1!$D$14:$P$299,54,0),"")</f>
        <v/>
      </c>
    </row>
    <row r="136" spans="1:6" x14ac:dyDescent="0.3">
      <c r="A136" s="1">
        <v>135</v>
      </c>
      <c r="C136" s="1" t="str">
        <f>IFERROR(VLOOKUP(B136,Sheet1!$D$14:$P$299,2,0),"")</f>
        <v/>
      </c>
      <c r="D136" s="1" t="str">
        <f>IFERROR(VLOOKUP(B136,Sheet1!$D$14:$P$299,3,0),"")</f>
        <v/>
      </c>
      <c r="E136" s="1" t="str">
        <f>IFERROR(VLOOKUP(B136,Sheet1!$D$14:$P$299,4,0),"")</f>
        <v/>
      </c>
      <c r="F136" s="1" t="str">
        <f>IFERROR(VLOOKUP(B136,Sheet1!$D$14:$P$299,54,0),"")</f>
        <v/>
      </c>
    </row>
    <row r="137" spans="1:6" x14ac:dyDescent="0.3">
      <c r="A137" s="1">
        <v>136</v>
      </c>
      <c r="C137" s="1" t="str">
        <f>IFERROR(VLOOKUP(B137,Sheet1!$D$14:$P$299,2,0),"")</f>
        <v/>
      </c>
      <c r="D137" s="1" t="str">
        <f>IFERROR(VLOOKUP(B137,Sheet1!$D$14:$P$299,3,0),"")</f>
        <v/>
      </c>
      <c r="E137" s="1" t="str">
        <f>IFERROR(VLOOKUP(B137,Sheet1!$D$14:$P$299,4,0),"")</f>
        <v/>
      </c>
      <c r="F137" s="1" t="str">
        <f>IFERROR(VLOOKUP(B137,Sheet1!$D$14:$P$299,54,0),"")</f>
        <v/>
      </c>
    </row>
    <row r="138" spans="1:6" x14ac:dyDescent="0.3">
      <c r="A138" s="1">
        <v>137</v>
      </c>
      <c r="C138" s="1" t="str">
        <f>IFERROR(VLOOKUP(B138,Sheet1!$D$14:$P$299,2,0),"")</f>
        <v/>
      </c>
      <c r="D138" s="1" t="str">
        <f>IFERROR(VLOOKUP(B138,Sheet1!$D$14:$P$299,3,0),"")</f>
        <v/>
      </c>
      <c r="E138" s="1" t="str">
        <f>IFERROR(VLOOKUP(B138,Sheet1!$D$14:$P$299,4,0),"")</f>
        <v/>
      </c>
      <c r="F138" s="1" t="str">
        <f>IFERROR(VLOOKUP(B138,Sheet1!$D$14:$P$299,54,0),"")</f>
        <v/>
      </c>
    </row>
    <row r="139" spans="1:6" x14ac:dyDescent="0.3">
      <c r="A139" s="1">
        <v>138</v>
      </c>
      <c r="C139" s="1" t="str">
        <f>IFERROR(VLOOKUP(B139,Sheet1!$D$14:$P$299,2,0),"")</f>
        <v/>
      </c>
      <c r="D139" s="1" t="str">
        <f>IFERROR(VLOOKUP(B139,Sheet1!$D$14:$P$299,3,0),"")</f>
        <v/>
      </c>
      <c r="E139" s="1" t="str">
        <f>IFERROR(VLOOKUP(B139,Sheet1!$D$14:$P$299,4,0),"")</f>
        <v/>
      </c>
      <c r="F139" s="1" t="str">
        <f>IFERROR(VLOOKUP(B139,Sheet1!$D$14:$P$299,54,0),"")</f>
        <v/>
      </c>
    </row>
    <row r="140" spans="1:6" x14ac:dyDescent="0.3">
      <c r="A140" s="1">
        <v>139</v>
      </c>
      <c r="C140" s="1" t="str">
        <f>IFERROR(VLOOKUP(B140,Sheet1!$D$14:$P$299,2,0),"")</f>
        <v/>
      </c>
      <c r="D140" s="1" t="str">
        <f>IFERROR(VLOOKUP(B140,Sheet1!$D$14:$P$299,3,0),"")</f>
        <v/>
      </c>
      <c r="E140" s="1" t="str">
        <f>IFERROR(VLOOKUP(B140,Sheet1!$D$14:$P$299,4,0),"")</f>
        <v/>
      </c>
      <c r="F140" s="1" t="str">
        <f>IFERROR(VLOOKUP(B140,Sheet1!$D$14:$P$299,54,0),"")</f>
        <v/>
      </c>
    </row>
    <row r="141" spans="1:6" x14ac:dyDescent="0.3">
      <c r="A141" s="1">
        <v>140</v>
      </c>
      <c r="C141" s="1" t="str">
        <f>IFERROR(VLOOKUP(B141,Sheet1!$D$14:$P$299,2,0),"")</f>
        <v/>
      </c>
      <c r="D141" s="1" t="str">
        <f>IFERROR(VLOOKUP(B141,Sheet1!$D$14:$P$299,3,0),"")</f>
        <v/>
      </c>
      <c r="E141" s="1" t="str">
        <f>IFERROR(VLOOKUP(B141,Sheet1!$D$14:$P$299,4,0),"")</f>
        <v/>
      </c>
      <c r="F141" s="1" t="str">
        <f>IFERROR(VLOOKUP(B141,Sheet1!$D$14:$P$299,54,0),"")</f>
        <v/>
      </c>
    </row>
    <row r="142" spans="1:6" x14ac:dyDescent="0.3">
      <c r="A142" s="1">
        <v>141</v>
      </c>
      <c r="C142" s="1" t="str">
        <f>IFERROR(VLOOKUP(B142,Sheet1!$D$14:$P$299,2,0),"")</f>
        <v/>
      </c>
      <c r="D142" s="1" t="str">
        <f>IFERROR(VLOOKUP(B142,Sheet1!$D$14:$P$299,3,0),"")</f>
        <v/>
      </c>
      <c r="E142" s="1" t="str">
        <f>IFERROR(VLOOKUP(B142,Sheet1!$D$14:$P$299,4,0),"")</f>
        <v/>
      </c>
      <c r="F142" s="1" t="str">
        <f>IFERROR(VLOOKUP(B142,Sheet1!$D$14:$P$299,54,0),"")</f>
        <v/>
      </c>
    </row>
    <row r="143" spans="1:6" x14ac:dyDescent="0.3">
      <c r="A143" s="1">
        <v>142</v>
      </c>
      <c r="C143" s="1" t="str">
        <f>IFERROR(VLOOKUP(B143,Sheet1!$D$14:$P$299,2,0),"")</f>
        <v/>
      </c>
      <c r="D143" s="1" t="str">
        <f>IFERROR(VLOOKUP(B143,Sheet1!$D$14:$P$299,3,0),"")</f>
        <v/>
      </c>
      <c r="E143" s="1" t="str">
        <f>IFERROR(VLOOKUP(B143,Sheet1!$D$14:$P$299,4,0),"")</f>
        <v/>
      </c>
      <c r="F143" s="1" t="str">
        <f>IFERROR(VLOOKUP(B143,Sheet1!$D$14:$P$299,54,0),"")</f>
        <v/>
      </c>
    </row>
    <row r="144" spans="1:6" x14ac:dyDescent="0.3">
      <c r="A144" s="1">
        <v>143</v>
      </c>
      <c r="C144" s="1" t="str">
        <f>IFERROR(VLOOKUP(B144,Sheet1!$D$14:$P$299,2,0),"")</f>
        <v/>
      </c>
      <c r="D144" s="1" t="str">
        <f>IFERROR(VLOOKUP(B144,Sheet1!$D$14:$P$299,3,0),"")</f>
        <v/>
      </c>
      <c r="E144" s="1" t="str">
        <f>IFERROR(VLOOKUP(B144,Sheet1!$D$14:$P$299,4,0),"")</f>
        <v/>
      </c>
      <c r="F144" s="1" t="str">
        <f>IFERROR(VLOOKUP(B144,Sheet1!$D$14:$P$299,54,0),"")</f>
        <v/>
      </c>
    </row>
    <row r="145" spans="1:6" x14ac:dyDescent="0.3">
      <c r="A145" s="1">
        <v>144</v>
      </c>
      <c r="C145" s="1" t="str">
        <f>IFERROR(VLOOKUP(B145,Sheet1!$D$14:$P$299,2,0),"")</f>
        <v/>
      </c>
      <c r="D145" s="1" t="str">
        <f>IFERROR(VLOOKUP(B145,Sheet1!$D$14:$P$299,3,0),"")</f>
        <v/>
      </c>
      <c r="E145" s="1" t="str">
        <f>IFERROR(VLOOKUP(B145,Sheet1!$D$14:$P$299,4,0),"")</f>
        <v/>
      </c>
      <c r="F145" s="1" t="str">
        <f>IFERROR(VLOOKUP(B145,Sheet1!$D$14:$P$299,54,0),"")</f>
        <v/>
      </c>
    </row>
    <row r="146" spans="1:6" x14ac:dyDescent="0.3">
      <c r="A146" s="1">
        <v>145</v>
      </c>
      <c r="C146" s="1" t="str">
        <f>IFERROR(VLOOKUP(B146,Sheet1!$D$14:$P$299,2,0),"")</f>
        <v/>
      </c>
      <c r="D146" s="1" t="str">
        <f>IFERROR(VLOOKUP(B146,Sheet1!$D$14:$P$299,3,0),"")</f>
        <v/>
      </c>
      <c r="E146" s="1" t="str">
        <f>IFERROR(VLOOKUP(B146,Sheet1!$D$14:$P$299,4,0),"")</f>
        <v/>
      </c>
      <c r="F146" s="1" t="str">
        <f>IFERROR(VLOOKUP(B146,Sheet1!$D$14:$P$299,54,0),"")</f>
        <v/>
      </c>
    </row>
    <row r="147" spans="1:6" x14ac:dyDescent="0.3">
      <c r="A147" s="1">
        <v>146</v>
      </c>
      <c r="C147" s="1" t="str">
        <f>IFERROR(VLOOKUP(B147,Sheet1!$D$14:$P$299,2,0),"")</f>
        <v/>
      </c>
      <c r="D147" s="1" t="str">
        <f>IFERROR(VLOOKUP(B147,Sheet1!$D$14:$P$299,3,0),"")</f>
        <v/>
      </c>
      <c r="E147" s="1" t="str">
        <f>IFERROR(VLOOKUP(B147,Sheet1!$D$14:$P$299,4,0),"")</f>
        <v/>
      </c>
      <c r="F147" s="1" t="str">
        <f>IFERROR(VLOOKUP(B147,Sheet1!$D$14:$P$299,54,0),"")</f>
        <v/>
      </c>
    </row>
    <row r="148" spans="1:6" x14ac:dyDescent="0.3">
      <c r="A148" s="1">
        <v>147</v>
      </c>
      <c r="C148" s="1" t="str">
        <f>IFERROR(VLOOKUP(B148,Sheet1!$D$14:$P$299,2,0),"")</f>
        <v/>
      </c>
      <c r="D148" s="1" t="str">
        <f>IFERROR(VLOOKUP(B148,Sheet1!$D$14:$P$299,3,0),"")</f>
        <v/>
      </c>
      <c r="E148" s="1" t="str">
        <f>IFERROR(VLOOKUP(B148,Sheet1!$D$14:$P$299,4,0),"")</f>
        <v/>
      </c>
      <c r="F148" s="1" t="str">
        <f>IFERROR(VLOOKUP(B148,Sheet1!$D$14:$P$299,54,0),"")</f>
        <v/>
      </c>
    </row>
    <row r="149" spans="1:6" x14ac:dyDescent="0.3">
      <c r="A149" s="1">
        <v>148</v>
      </c>
      <c r="C149" s="1" t="str">
        <f>IFERROR(VLOOKUP(B149,Sheet1!$D$14:$P$299,2,0),"")</f>
        <v/>
      </c>
      <c r="D149" s="1" t="str">
        <f>IFERROR(VLOOKUP(B149,Sheet1!$D$14:$P$299,3,0),"")</f>
        <v/>
      </c>
      <c r="E149" s="1" t="str">
        <f>IFERROR(VLOOKUP(B149,Sheet1!$D$14:$P$299,4,0),"")</f>
        <v/>
      </c>
      <c r="F149" s="1" t="str">
        <f>IFERROR(VLOOKUP(B149,Sheet1!$D$14:$P$299,54,0),"")</f>
        <v/>
      </c>
    </row>
    <row r="150" spans="1:6" x14ac:dyDescent="0.3">
      <c r="A150" s="1">
        <v>149</v>
      </c>
      <c r="C150" s="1" t="str">
        <f>IFERROR(VLOOKUP(B150,Sheet1!$D$14:$P$299,2,0),"")</f>
        <v/>
      </c>
      <c r="D150" s="1" t="str">
        <f>IFERROR(VLOOKUP(B150,Sheet1!$D$14:$P$299,3,0),"")</f>
        <v/>
      </c>
      <c r="E150" s="1" t="str">
        <f>IFERROR(VLOOKUP(B150,Sheet1!$D$14:$P$299,4,0),"")</f>
        <v/>
      </c>
      <c r="F150" s="1" t="str">
        <f>IFERROR(VLOOKUP(B150,Sheet1!$D$14:$P$299,54,0),"")</f>
        <v/>
      </c>
    </row>
    <row r="151" spans="1:6" x14ac:dyDescent="0.3">
      <c r="A151" s="1">
        <v>150</v>
      </c>
      <c r="C151" s="1" t="str">
        <f>IFERROR(VLOOKUP(B151,Sheet1!$D$14:$P$299,2,0),"")</f>
        <v/>
      </c>
      <c r="D151" s="1" t="str">
        <f>IFERROR(VLOOKUP(B151,Sheet1!$D$14:$P$299,3,0),"")</f>
        <v/>
      </c>
      <c r="E151" s="1" t="str">
        <f>IFERROR(VLOOKUP(B151,Sheet1!$D$14:$P$299,4,0),"")</f>
        <v/>
      </c>
      <c r="F151" s="1" t="str">
        <f>IFERROR(VLOOKUP(B151,Sheet1!$D$14:$P$299,54,0),"")</f>
        <v/>
      </c>
    </row>
    <row r="152" spans="1:6" x14ac:dyDescent="0.3">
      <c r="A152" s="1">
        <v>151</v>
      </c>
      <c r="C152" s="1" t="str">
        <f>IFERROR(VLOOKUP(B152,Sheet1!$D$14:$P$299,2,0),"")</f>
        <v/>
      </c>
      <c r="D152" s="1" t="str">
        <f>IFERROR(VLOOKUP(B152,Sheet1!$D$14:$P$299,3,0),"")</f>
        <v/>
      </c>
      <c r="E152" s="1" t="str">
        <f>IFERROR(VLOOKUP(B152,Sheet1!$D$14:$P$299,4,0),"")</f>
        <v/>
      </c>
      <c r="F152" s="1" t="str">
        <f>IFERROR(VLOOKUP(B152,Sheet1!$D$14:$P$299,54,0),"")</f>
        <v/>
      </c>
    </row>
    <row r="153" spans="1:6" x14ac:dyDescent="0.3">
      <c r="A153" s="1">
        <v>152</v>
      </c>
      <c r="C153" s="1" t="str">
        <f>IFERROR(VLOOKUP(B153,Sheet1!$D$14:$P$299,2,0),"")</f>
        <v/>
      </c>
      <c r="D153" s="1" t="str">
        <f>IFERROR(VLOOKUP(B153,Sheet1!$D$14:$P$299,3,0),"")</f>
        <v/>
      </c>
      <c r="E153" s="1" t="str">
        <f>IFERROR(VLOOKUP(B153,Sheet1!$D$14:$P$299,4,0),"")</f>
        <v/>
      </c>
      <c r="F153" s="1" t="str">
        <f>IFERROR(VLOOKUP(B153,Sheet1!$D$14:$P$299,54,0),"")</f>
        <v/>
      </c>
    </row>
    <row r="154" spans="1:6" x14ac:dyDescent="0.3">
      <c r="A154" s="1">
        <v>153</v>
      </c>
      <c r="C154" s="1" t="str">
        <f>IFERROR(VLOOKUP(B154,Sheet1!$D$14:$P$299,2,0),"")</f>
        <v/>
      </c>
      <c r="D154" s="1" t="str">
        <f>IFERROR(VLOOKUP(B154,Sheet1!$D$14:$P$299,3,0),"")</f>
        <v/>
      </c>
      <c r="E154" s="1" t="str">
        <f>IFERROR(VLOOKUP(B154,Sheet1!$D$14:$P$299,4,0),"")</f>
        <v/>
      </c>
      <c r="F154" s="1" t="str">
        <f>IFERROR(VLOOKUP(B154,Sheet1!$D$14:$P$299,54,0),"")</f>
        <v/>
      </c>
    </row>
    <row r="155" spans="1:6" x14ac:dyDescent="0.3">
      <c r="A155" s="1">
        <v>154</v>
      </c>
      <c r="C155" s="1" t="str">
        <f>IFERROR(VLOOKUP(B155,Sheet1!$D$14:$P$299,2,0),"")</f>
        <v/>
      </c>
      <c r="D155" s="1" t="str">
        <f>IFERROR(VLOOKUP(B155,Sheet1!$D$14:$P$299,3,0),"")</f>
        <v/>
      </c>
      <c r="E155" s="1" t="str">
        <f>IFERROR(VLOOKUP(B155,Sheet1!$D$14:$P$299,4,0),"")</f>
        <v/>
      </c>
      <c r="F155" s="1" t="str">
        <f>IFERROR(VLOOKUP(B155,Sheet1!$D$14:$P$299,54,0),"")</f>
        <v/>
      </c>
    </row>
    <row r="156" spans="1:6" x14ac:dyDescent="0.3">
      <c r="A156" s="1">
        <v>155</v>
      </c>
      <c r="C156" s="1" t="str">
        <f>IFERROR(VLOOKUP(B156,Sheet1!$D$14:$P$299,2,0),"")</f>
        <v/>
      </c>
      <c r="D156" s="1" t="str">
        <f>IFERROR(VLOOKUP(B156,Sheet1!$D$14:$P$299,3,0),"")</f>
        <v/>
      </c>
      <c r="E156" s="1" t="str">
        <f>IFERROR(VLOOKUP(B156,Sheet1!$D$14:$P$299,4,0),"")</f>
        <v/>
      </c>
      <c r="F156" s="1" t="str">
        <f>IFERROR(VLOOKUP(B156,Sheet1!$D$14:$P$299,54,0),"")</f>
        <v/>
      </c>
    </row>
    <row r="157" spans="1:6" x14ac:dyDescent="0.3">
      <c r="A157" s="1">
        <v>156</v>
      </c>
      <c r="C157" s="1" t="str">
        <f>IFERROR(VLOOKUP(B157,Sheet1!$D$14:$P$299,2,0),"")</f>
        <v/>
      </c>
      <c r="D157" s="1" t="str">
        <f>IFERROR(VLOOKUP(B157,Sheet1!$D$14:$P$299,3,0),"")</f>
        <v/>
      </c>
      <c r="E157" s="1" t="str">
        <f>IFERROR(VLOOKUP(B157,Sheet1!$D$14:$P$299,4,0),"")</f>
        <v/>
      </c>
      <c r="F157" s="1" t="str">
        <f>IFERROR(VLOOKUP(B157,Sheet1!$D$14:$P$299,54,0),"")</f>
        <v/>
      </c>
    </row>
    <row r="158" spans="1:6" x14ac:dyDescent="0.3">
      <c r="A158" s="1">
        <v>157</v>
      </c>
      <c r="C158" s="1" t="str">
        <f>IFERROR(VLOOKUP(B158,Sheet1!$D$14:$P$299,2,0),"")</f>
        <v/>
      </c>
      <c r="D158" s="1" t="str">
        <f>IFERROR(VLOOKUP(B158,Sheet1!$D$14:$P$299,3,0),"")</f>
        <v/>
      </c>
      <c r="E158" s="1" t="str">
        <f>IFERROR(VLOOKUP(B158,Sheet1!$D$14:$P$299,4,0),"")</f>
        <v/>
      </c>
      <c r="F158" s="1" t="str">
        <f>IFERROR(VLOOKUP(B158,Sheet1!$D$14:$P$299,54,0),"")</f>
        <v/>
      </c>
    </row>
    <row r="159" spans="1:6" x14ac:dyDescent="0.3">
      <c r="A159" s="1">
        <v>158</v>
      </c>
      <c r="C159" s="1" t="str">
        <f>IFERROR(VLOOKUP(B159,Sheet1!$D$14:$P$299,2,0),"")</f>
        <v/>
      </c>
      <c r="D159" s="1" t="str">
        <f>IFERROR(VLOOKUP(B159,Sheet1!$D$14:$P$299,3,0),"")</f>
        <v/>
      </c>
      <c r="E159" s="1" t="str">
        <f>IFERROR(VLOOKUP(B159,Sheet1!$D$14:$P$299,4,0),"")</f>
        <v/>
      </c>
      <c r="F159" s="1" t="str">
        <f>IFERROR(VLOOKUP(B159,Sheet1!$D$14:$P$299,54,0),"")</f>
        <v/>
      </c>
    </row>
    <row r="160" spans="1:6" x14ac:dyDescent="0.3">
      <c r="A160" s="1">
        <v>159</v>
      </c>
      <c r="C160" s="1" t="str">
        <f>IFERROR(VLOOKUP(B160,Sheet1!$D$14:$P$299,2,0),"")</f>
        <v/>
      </c>
      <c r="D160" s="1" t="str">
        <f>IFERROR(VLOOKUP(B160,Sheet1!$D$14:$P$299,3,0),"")</f>
        <v/>
      </c>
      <c r="E160" s="1" t="str">
        <f>IFERROR(VLOOKUP(B160,Sheet1!$D$14:$P$299,4,0),"")</f>
        <v/>
      </c>
      <c r="F160" s="1" t="str">
        <f>IFERROR(VLOOKUP(B160,Sheet1!$D$14:$P$299,54,0),"")</f>
        <v/>
      </c>
    </row>
    <row r="161" spans="1:6" x14ac:dyDescent="0.3">
      <c r="A161" s="1">
        <v>160</v>
      </c>
      <c r="C161" s="1" t="str">
        <f>IFERROR(VLOOKUP(B161,Sheet1!$D$14:$P$299,2,0),"")</f>
        <v/>
      </c>
      <c r="D161" s="1" t="str">
        <f>IFERROR(VLOOKUP(B161,Sheet1!$D$14:$P$299,3,0),"")</f>
        <v/>
      </c>
      <c r="E161" s="1" t="str">
        <f>IFERROR(VLOOKUP(B161,Sheet1!$D$14:$P$299,4,0),"")</f>
        <v/>
      </c>
      <c r="F161" s="1" t="str">
        <f>IFERROR(VLOOKUP(B161,Sheet1!$D$14:$P$299,54,0),"")</f>
        <v/>
      </c>
    </row>
    <row r="162" spans="1:6" x14ac:dyDescent="0.3">
      <c r="A162" s="1">
        <v>161</v>
      </c>
      <c r="C162" s="1" t="str">
        <f>IFERROR(VLOOKUP(B162,Sheet1!$D$14:$P$299,2,0),"")</f>
        <v/>
      </c>
      <c r="D162" s="1" t="str">
        <f>IFERROR(VLOOKUP(B162,Sheet1!$D$14:$P$299,3,0),"")</f>
        <v/>
      </c>
      <c r="E162" s="1" t="str">
        <f>IFERROR(VLOOKUP(B162,Sheet1!$D$14:$P$299,4,0),"")</f>
        <v/>
      </c>
      <c r="F162" s="1" t="str">
        <f>IFERROR(VLOOKUP(B162,Sheet1!$D$14:$P$299,54,0),"")</f>
        <v/>
      </c>
    </row>
    <row r="163" spans="1:6" x14ac:dyDescent="0.3">
      <c r="A163" s="1">
        <v>162</v>
      </c>
      <c r="C163" s="1" t="str">
        <f>IFERROR(VLOOKUP(B163,Sheet1!$D$14:$P$299,2,0),"")</f>
        <v/>
      </c>
      <c r="D163" s="1" t="str">
        <f>IFERROR(VLOOKUP(B163,Sheet1!$D$14:$P$299,3,0),"")</f>
        <v/>
      </c>
      <c r="E163" s="1" t="str">
        <f>IFERROR(VLOOKUP(B163,Sheet1!$D$14:$P$299,4,0),"")</f>
        <v/>
      </c>
      <c r="F163" s="1" t="str">
        <f>IFERROR(VLOOKUP(B163,Sheet1!$D$14:$P$299,54,0),"")</f>
        <v/>
      </c>
    </row>
    <row r="164" spans="1:6" x14ac:dyDescent="0.3">
      <c r="A164" s="1">
        <v>163</v>
      </c>
      <c r="C164" s="1" t="str">
        <f>IFERROR(VLOOKUP(B164,Sheet1!$D$14:$P$299,2,0),"")</f>
        <v/>
      </c>
      <c r="D164" s="1" t="str">
        <f>IFERROR(VLOOKUP(B164,Sheet1!$D$14:$P$299,3,0),"")</f>
        <v/>
      </c>
      <c r="E164" s="1" t="str">
        <f>IFERROR(VLOOKUP(B164,Sheet1!$D$14:$P$299,4,0),"")</f>
        <v/>
      </c>
      <c r="F164" s="1" t="str">
        <f>IFERROR(VLOOKUP(B164,Sheet1!$D$14:$P$299,54,0),"")</f>
        <v/>
      </c>
    </row>
    <row r="165" spans="1:6" x14ac:dyDescent="0.3">
      <c r="A165" s="1">
        <v>164</v>
      </c>
      <c r="C165" s="1" t="str">
        <f>IFERROR(VLOOKUP(B165,Sheet1!$D$14:$P$299,2,0),"")</f>
        <v/>
      </c>
      <c r="D165" s="1" t="str">
        <f>IFERROR(VLOOKUP(B165,Sheet1!$D$14:$P$299,3,0),"")</f>
        <v/>
      </c>
      <c r="E165" s="1" t="str">
        <f>IFERROR(VLOOKUP(B165,Sheet1!$D$14:$P$299,4,0),"")</f>
        <v/>
      </c>
      <c r="F165" s="1" t="str">
        <f>IFERROR(VLOOKUP(B165,Sheet1!$D$14:$P$299,54,0),"")</f>
        <v/>
      </c>
    </row>
    <row r="166" spans="1:6" x14ac:dyDescent="0.3">
      <c r="A166" s="1">
        <v>165</v>
      </c>
      <c r="C166" s="1" t="str">
        <f>IFERROR(VLOOKUP(B166,Sheet1!$D$14:$P$299,2,0),"")</f>
        <v/>
      </c>
      <c r="D166" s="1" t="str">
        <f>IFERROR(VLOOKUP(B166,Sheet1!$D$14:$P$299,3,0),"")</f>
        <v/>
      </c>
      <c r="E166" s="1" t="str">
        <f>IFERROR(VLOOKUP(B166,Sheet1!$D$14:$P$299,4,0),"")</f>
        <v/>
      </c>
      <c r="F166" s="1" t="str">
        <f>IFERROR(VLOOKUP(B166,Sheet1!$D$14:$P$299,54,0),"")</f>
        <v/>
      </c>
    </row>
    <row r="167" spans="1:6" x14ac:dyDescent="0.3">
      <c r="A167" s="1">
        <v>166</v>
      </c>
      <c r="C167" s="1" t="str">
        <f>IFERROR(VLOOKUP(B167,Sheet1!$D$14:$P$299,2,0),"")</f>
        <v/>
      </c>
      <c r="D167" s="1" t="str">
        <f>IFERROR(VLOOKUP(B167,Sheet1!$D$14:$P$299,3,0),"")</f>
        <v/>
      </c>
      <c r="E167" s="1" t="str">
        <f>IFERROR(VLOOKUP(B167,Sheet1!$D$14:$P$299,4,0),"")</f>
        <v/>
      </c>
      <c r="F167" s="1" t="str">
        <f>IFERROR(VLOOKUP(B167,Sheet1!$D$14:$P$299,54,0),"")</f>
        <v/>
      </c>
    </row>
    <row r="168" spans="1:6" x14ac:dyDescent="0.3">
      <c r="A168" s="1">
        <v>167</v>
      </c>
      <c r="C168" s="1" t="str">
        <f>IFERROR(VLOOKUP(B168,Sheet1!$D$14:$P$299,2,0),"")</f>
        <v/>
      </c>
      <c r="D168" s="1" t="str">
        <f>IFERROR(VLOOKUP(B168,Sheet1!$D$14:$P$299,3,0),"")</f>
        <v/>
      </c>
      <c r="E168" s="1" t="str">
        <f>IFERROR(VLOOKUP(B168,Sheet1!$D$14:$P$299,4,0),"")</f>
        <v/>
      </c>
      <c r="F168" s="1" t="str">
        <f>IFERROR(VLOOKUP(B168,Sheet1!$D$14:$P$299,54,0),"")</f>
        <v/>
      </c>
    </row>
    <row r="169" spans="1:6" x14ac:dyDescent="0.3">
      <c r="A169" s="1">
        <v>168</v>
      </c>
      <c r="C169" s="1" t="str">
        <f>IFERROR(VLOOKUP(B169,Sheet1!$D$14:$P$299,2,0),"")</f>
        <v/>
      </c>
      <c r="D169" s="1" t="str">
        <f>IFERROR(VLOOKUP(B169,Sheet1!$D$14:$P$299,3,0),"")</f>
        <v/>
      </c>
      <c r="E169" s="1" t="str">
        <f>IFERROR(VLOOKUP(B169,Sheet1!$D$14:$P$299,4,0),"")</f>
        <v/>
      </c>
      <c r="F169" s="1" t="str">
        <f>IFERROR(VLOOKUP(B169,Sheet1!$D$14:$P$299,54,0),"")</f>
        <v/>
      </c>
    </row>
    <row r="170" spans="1:6" x14ac:dyDescent="0.3">
      <c r="A170" s="1">
        <v>169</v>
      </c>
      <c r="C170" s="1" t="str">
        <f>IFERROR(VLOOKUP(B170,Sheet1!$D$14:$P$299,2,0),"")</f>
        <v/>
      </c>
      <c r="D170" s="1" t="str">
        <f>IFERROR(VLOOKUP(B170,Sheet1!$D$14:$P$299,3,0),"")</f>
        <v/>
      </c>
      <c r="E170" s="1" t="str">
        <f>IFERROR(VLOOKUP(B170,Sheet1!$D$14:$P$299,4,0),"")</f>
        <v/>
      </c>
      <c r="F170" s="1" t="str">
        <f>IFERROR(VLOOKUP(B170,Sheet1!$D$14:$P$299,54,0),"")</f>
        <v/>
      </c>
    </row>
    <row r="171" spans="1:6" x14ac:dyDescent="0.3">
      <c r="A171" s="1">
        <v>170</v>
      </c>
      <c r="C171" s="1" t="str">
        <f>IFERROR(VLOOKUP(B171,Sheet1!$D$14:$P$299,2,0),"")</f>
        <v/>
      </c>
      <c r="D171" s="1" t="str">
        <f>IFERROR(VLOOKUP(B171,Sheet1!$D$14:$P$299,3,0),"")</f>
        <v/>
      </c>
      <c r="E171" s="1" t="str">
        <f>IFERROR(VLOOKUP(B171,Sheet1!$D$14:$P$299,4,0),"")</f>
        <v/>
      </c>
      <c r="F171" s="1" t="str">
        <f>IFERROR(VLOOKUP(B171,Sheet1!$D$14:$P$299,54,0),"")</f>
        <v/>
      </c>
    </row>
    <row r="172" spans="1:6" x14ac:dyDescent="0.3">
      <c r="A172" s="1">
        <v>171</v>
      </c>
      <c r="C172" s="1" t="str">
        <f>IFERROR(VLOOKUP(B172,Sheet1!$D$14:$P$299,2,0),"")</f>
        <v/>
      </c>
      <c r="D172" s="1" t="str">
        <f>IFERROR(VLOOKUP(B172,Sheet1!$D$14:$P$299,3,0),"")</f>
        <v/>
      </c>
      <c r="E172" s="1" t="str">
        <f>IFERROR(VLOOKUP(B172,Sheet1!$D$14:$P$299,4,0),"")</f>
        <v/>
      </c>
      <c r="F172" s="1" t="str">
        <f>IFERROR(VLOOKUP(B172,Sheet1!$D$14:$P$299,54,0),"")</f>
        <v/>
      </c>
    </row>
    <row r="173" spans="1:6" x14ac:dyDescent="0.3">
      <c r="A173" s="1">
        <v>172</v>
      </c>
      <c r="C173" s="1" t="str">
        <f>IFERROR(VLOOKUP(B173,Sheet1!$D$14:$P$299,2,0),"")</f>
        <v/>
      </c>
      <c r="D173" s="1" t="str">
        <f>IFERROR(VLOOKUP(B173,Sheet1!$D$14:$P$299,3,0),"")</f>
        <v/>
      </c>
      <c r="E173" s="1" t="str">
        <f>IFERROR(VLOOKUP(B173,Sheet1!$D$14:$P$299,4,0),"")</f>
        <v/>
      </c>
      <c r="F173" s="1" t="str">
        <f>IFERROR(VLOOKUP(B173,Sheet1!$D$14:$P$299,54,0),"")</f>
        <v/>
      </c>
    </row>
    <row r="174" spans="1:6" x14ac:dyDescent="0.3">
      <c r="A174" s="1">
        <v>173</v>
      </c>
      <c r="C174" s="1" t="str">
        <f>IFERROR(VLOOKUP(B174,Sheet1!$D$14:$P$299,2,0),"")</f>
        <v/>
      </c>
      <c r="D174" s="1" t="str">
        <f>IFERROR(VLOOKUP(B174,Sheet1!$D$14:$P$299,3,0),"")</f>
        <v/>
      </c>
      <c r="E174" s="1" t="str">
        <f>IFERROR(VLOOKUP(B174,Sheet1!$D$14:$P$299,4,0),"")</f>
        <v/>
      </c>
      <c r="F174" s="1" t="str">
        <f>IFERROR(VLOOKUP(B174,Sheet1!$D$14:$P$299,54,0),"")</f>
        <v/>
      </c>
    </row>
    <row r="175" spans="1:6" x14ac:dyDescent="0.3">
      <c r="A175" s="1">
        <v>174</v>
      </c>
      <c r="C175" s="1" t="str">
        <f>IFERROR(VLOOKUP(B175,Sheet1!$D$14:$P$299,2,0),"")</f>
        <v/>
      </c>
      <c r="D175" s="1" t="str">
        <f>IFERROR(VLOOKUP(B175,Sheet1!$D$14:$P$299,3,0),"")</f>
        <v/>
      </c>
      <c r="E175" s="1" t="str">
        <f>IFERROR(VLOOKUP(B175,Sheet1!$D$14:$P$299,4,0),"")</f>
        <v/>
      </c>
      <c r="F175" s="1" t="str">
        <f>IFERROR(VLOOKUP(B175,Sheet1!$D$14:$P$299,54,0),"")</f>
        <v/>
      </c>
    </row>
    <row r="176" spans="1:6" x14ac:dyDescent="0.3">
      <c r="A176" s="1">
        <v>175</v>
      </c>
      <c r="C176" s="1" t="str">
        <f>IFERROR(VLOOKUP(B176,Sheet1!$D$14:$P$299,2,0),"")</f>
        <v/>
      </c>
      <c r="D176" s="1" t="str">
        <f>IFERROR(VLOOKUP(B176,Sheet1!$D$14:$P$299,3,0),"")</f>
        <v/>
      </c>
      <c r="E176" s="1" t="str">
        <f>IFERROR(VLOOKUP(B176,Sheet1!$D$14:$P$299,4,0),"")</f>
        <v/>
      </c>
      <c r="F176" s="1" t="str">
        <f>IFERROR(VLOOKUP(B176,Sheet1!$D$14:$P$299,54,0),"")</f>
        <v/>
      </c>
    </row>
    <row r="177" spans="1:6" x14ac:dyDescent="0.3">
      <c r="A177" s="1">
        <v>176</v>
      </c>
      <c r="C177" s="1" t="str">
        <f>IFERROR(VLOOKUP(B177,Sheet1!$D$14:$P$299,2,0),"")</f>
        <v/>
      </c>
      <c r="D177" s="1" t="str">
        <f>IFERROR(VLOOKUP(B177,Sheet1!$D$14:$P$299,3,0),"")</f>
        <v/>
      </c>
      <c r="E177" s="1" t="str">
        <f>IFERROR(VLOOKUP(B177,Sheet1!$D$14:$P$299,4,0),"")</f>
        <v/>
      </c>
      <c r="F177" s="1" t="str">
        <f>IFERROR(VLOOKUP(B177,Sheet1!$D$14:$P$299,54,0),"")</f>
        <v/>
      </c>
    </row>
    <row r="178" spans="1:6" x14ac:dyDescent="0.3">
      <c r="A178" s="1">
        <v>177</v>
      </c>
      <c r="C178" s="1" t="str">
        <f>IFERROR(VLOOKUP(B178,Sheet1!$D$14:$P$299,2,0),"")</f>
        <v/>
      </c>
      <c r="D178" s="1" t="str">
        <f>IFERROR(VLOOKUP(B178,Sheet1!$D$14:$P$299,3,0),"")</f>
        <v/>
      </c>
      <c r="E178" s="1" t="str">
        <f>IFERROR(VLOOKUP(B178,Sheet1!$D$14:$P$299,4,0),"")</f>
        <v/>
      </c>
      <c r="F178" s="1" t="str">
        <f>IFERROR(VLOOKUP(B178,Sheet1!$D$14:$P$299,54,0),"")</f>
        <v/>
      </c>
    </row>
    <row r="179" spans="1:6" x14ac:dyDescent="0.3">
      <c r="A179" s="1">
        <v>178</v>
      </c>
      <c r="C179" s="1" t="str">
        <f>IFERROR(VLOOKUP(B179,Sheet1!$D$14:$P$299,2,0),"")</f>
        <v/>
      </c>
      <c r="D179" s="1" t="str">
        <f>IFERROR(VLOOKUP(B179,Sheet1!$D$14:$P$299,3,0),"")</f>
        <v/>
      </c>
      <c r="E179" s="1" t="str">
        <f>IFERROR(VLOOKUP(B179,Sheet1!$D$14:$P$299,4,0),"")</f>
        <v/>
      </c>
      <c r="F179" s="1" t="str">
        <f>IFERROR(VLOOKUP(B179,Sheet1!$D$14:$P$299,54,0),"")</f>
        <v/>
      </c>
    </row>
    <row r="180" spans="1:6" x14ac:dyDescent="0.3">
      <c r="A180" s="1">
        <v>179</v>
      </c>
      <c r="C180" s="1" t="str">
        <f>IFERROR(VLOOKUP(B180,Sheet1!$D$14:$P$299,2,0),"")</f>
        <v/>
      </c>
      <c r="D180" s="1" t="str">
        <f>IFERROR(VLOOKUP(B180,Sheet1!$D$14:$P$299,3,0),"")</f>
        <v/>
      </c>
      <c r="E180" s="1" t="str">
        <f>IFERROR(VLOOKUP(B180,Sheet1!$D$14:$P$299,4,0),"")</f>
        <v/>
      </c>
      <c r="F180" s="1" t="str">
        <f>IFERROR(VLOOKUP(B180,Sheet1!$D$14:$P$299,54,0),"")</f>
        <v/>
      </c>
    </row>
    <row r="181" spans="1:6" x14ac:dyDescent="0.3">
      <c r="A181" s="1">
        <v>180</v>
      </c>
      <c r="C181" s="1" t="str">
        <f>IFERROR(VLOOKUP(B181,Sheet1!$D$14:$P$299,2,0),"")</f>
        <v/>
      </c>
      <c r="D181" s="1" t="str">
        <f>IFERROR(VLOOKUP(B181,Sheet1!$D$14:$P$299,3,0),"")</f>
        <v/>
      </c>
      <c r="E181" s="1" t="str">
        <f>IFERROR(VLOOKUP(B181,Sheet1!$D$14:$P$299,4,0),"")</f>
        <v/>
      </c>
      <c r="F181" s="1" t="str">
        <f>IFERROR(VLOOKUP(B181,Sheet1!$D$14:$P$299,54,0),"")</f>
        <v/>
      </c>
    </row>
    <row r="182" spans="1:6" x14ac:dyDescent="0.3">
      <c r="A182" s="1">
        <v>181</v>
      </c>
      <c r="C182" s="1" t="str">
        <f>IFERROR(VLOOKUP(B182,Sheet1!$D$14:$P$299,2,0),"")</f>
        <v/>
      </c>
      <c r="D182" s="1" t="str">
        <f>IFERROR(VLOOKUP(B182,Sheet1!$D$14:$P$299,3,0),"")</f>
        <v/>
      </c>
      <c r="E182" s="1" t="str">
        <f>IFERROR(VLOOKUP(B182,Sheet1!$D$14:$P$299,4,0),"")</f>
        <v/>
      </c>
      <c r="F182" s="1" t="str">
        <f>IFERROR(VLOOKUP(B182,Sheet1!$D$14:$P$299,54,0),"")</f>
        <v/>
      </c>
    </row>
    <row r="183" spans="1:6" x14ac:dyDescent="0.3">
      <c r="A183" s="1">
        <v>182</v>
      </c>
      <c r="C183" s="1" t="str">
        <f>IFERROR(VLOOKUP(B183,Sheet1!$D$14:$P$299,2,0),"")</f>
        <v/>
      </c>
      <c r="D183" s="1" t="str">
        <f>IFERROR(VLOOKUP(B183,Sheet1!$D$14:$P$299,3,0),"")</f>
        <v/>
      </c>
      <c r="E183" s="1" t="str">
        <f>IFERROR(VLOOKUP(B183,Sheet1!$D$14:$P$299,4,0),"")</f>
        <v/>
      </c>
      <c r="F183" s="1" t="str">
        <f>IFERROR(VLOOKUP(B183,Sheet1!$D$14:$P$299,54,0),"")</f>
        <v/>
      </c>
    </row>
    <row r="184" spans="1:6" x14ac:dyDescent="0.3">
      <c r="A184" s="1">
        <v>183</v>
      </c>
      <c r="C184" s="1" t="str">
        <f>IFERROR(VLOOKUP(B184,Sheet1!$D$14:$P$299,2,0),"")</f>
        <v/>
      </c>
      <c r="D184" s="1" t="str">
        <f>IFERROR(VLOOKUP(B184,Sheet1!$D$14:$P$299,3,0),"")</f>
        <v/>
      </c>
      <c r="E184" s="1" t="str">
        <f>IFERROR(VLOOKUP(B184,Sheet1!$D$14:$P$299,4,0),"")</f>
        <v/>
      </c>
      <c r="F184" s="1" t="str">
        <f>IFERROR(VLOOKUP(B184,Sheet1!$D$14:$P$299,54,0),"")</f>
        <v/>
      </c>
    </row>
    <row r="185" spans="1:6" x14ac:dyDescent="0.3">
      <c r="A185" s="1">
        <v>184</v>
      </c>
      <c r="C185" s="1" t="str">
        <f>IFERROR(VLOOKUP(B185,Sheet1!$D$14:$P$299,2,0),"")</f>
        <v/>
      </c>
      <c r="D185" s="1" t="str">
        <f>IFERROR(VLOOKUP(B185,Sheet1!$D$14:$P$299,3,0),"")</f>
        <v/>
      </c>
      <c r="E185" s="1" t="str">
        <f>IFERROR(VLOOKUP(B185,Sheet1!$D$14:$P$299,4,0),"")</f>
        <v/>
      </c>
      <c r="F185" s="1" t="str">
        <f>IFERROR(VLOOKUP(B185,Sheet1!$D$14:$P$299,54,0),"")</f>
        <v/>
      </c>
    </row>
    <row r="186" spans="1:6" x14ac:dyDescent="0.3">
      <c r="A186" s="1">
        <v>185</v>
      </c>
      <c r="C186" s="1" t="str">
        <f>IFERROR(VLOOKUP(B186,Sheet1!$D$14:$P$299,2,0),"")</f>
        <v/>
      </c>
      <c r="D186" s="1" t="str">
        <f>IFERROR(VLOOKUP(B186,Sheet1!$D$14:$P$299,3,0),"")</f>
        <v/>
      </c>
      <c r="E186" s="1" t="str">
        <f>IFERROR(VLOOKUP(B186,Sheet1!$D$14:$P$299,4,0),"")</f>
        <v/>
      </c>
      <c r="F186" s="1" t="str">
        <f>IFERROR(VLOOKUP(B186,Sheet1!$D$14:$P$299,54,0),"")</f>
        <v/>
      </c>
    </row>
    <row r="187" spans="1:6" x14ac:dyDescent="0.3">
      <c r="A187" s="1">
        <v>186</v>
      </c>
      <c r="C187" s="1" t="str">
        <f>IFERROR(VLOOKUP(B187,Sheet1!$D$14:$P$299,2,0),"")</f>
        <v/>
      </c>
      <c r="D187" s="1" t="str">
        <f>IFERROR(VLOOKUP(B187,Sheet1!$D$14:$P$299,3,0),"")</f>
        <v/>
      </c>
      <c r="E187" s="1" t="str">
        <f>IFERROR(VLOOKUP(B187,Sheet1!$D$14:$P$299,4,0),"")</f>
        <v/>
      </c>
      <c r="F187" s="1" t="str">
        <f>IFERROR(VLOOKUP(B187,Sheet1!$D$14:$P$299,54,0),"")</f>
        <v/>
      </c>
    </row>
    <row r="188" spans="1:6" x14ac:dyDescent="0.3">
      <c r="A188" s="1">
        <v>187</v>
      </c>
      <c r="C188" s="1" t="str">
        <f>IFERROR(VLOOKUP(B188,Sheet1!$D$14:$P$299,2,0),"")</f>
        <v/>
      </c>
      <c r="D188" s="1" t="str">
        <f>IFERROR(VLOOKUP(B188,Sheet1!$D$14:$P$299,3,0),"")</f>
        <v/>
      </c>
      <c r="E188" s="1" t="str">
        <f>IFERROR(VLOOKUP(B188,Sheet1!$D$14:$P$299,4,0),"")</f>
        <v/>
      </c>
      <c r="F188" s="1" t="str">
        <f>IFERROR(VLOOKUP(B188,Sheet1!$D$14:$P$299,54,0),"")</f>
        <v/>
      </c>
    </row>
    <row r="189" spans="1:6" x14ac:dyDescent="0.3">
      <c r="A189" s="1">
        <v>188</v>
      </c>
      <c r="C189" s="1" t="str">
        <f>IFERROR(VLOOKUP(B189,Sheet1!$D$14:$P$299,2,0),"")</f>
        <v/>
      </c>
      <c r="D189" s="1" t="str">
        <f>IFERROR(VLOOKUP(B189,Sheet1!$D$14:$P$299,3,0),"")</f>
        <v/>
      </c>
      <c r="E189" s="1" t="str">
        <f>IFERROR(VLOOKUP(B189,Sheet1!$D$14:$P$299,4,0),"")</f>
        <v/>
      </c>
      <c r="F189" s="1" t="str">
        <f>IFERROR(VLOOKUP(B189,Sheet1!$D$14:$P$299,54,0),"")</f>
        <v/>
      </c>
    </row>
    <row r="190" spans="1:6" x14ac:dyDescent="0.3">
      <c r="A190" s="1">
        <v>189</v>
      </c>
      <c r="C190" s="1" t="str">
        <f>IFERROR(VLOOKUP(B190,Sheet1!$D$14:$P$299,2,0),"")</f>
        <v/>
      </c>
      <c r="D190" s="1" t="str">
        <f>IFERROR(VLOOKUP(B190,Sheet1!$D$14:$P$299,3,0),"")</f>
        <v/>
      </c>
      <c r="E190" s="1" t="str">
        <f>IFERROR(VLOOKUP(B190,Sheet1!$D$14:$P$299,4,0),"")</f>
        <v/>
      </c>
      <c r="F190" s="1" t="str">
        <f>IFERROR(VLOOKUP(B190,Sheet1!$D$14:$P$299,54,0),"")</f>
        <v/>
      </c>
    </row>
    <row r="191" spans="1:6" x14ac:dyDescent="0.3">
      <c r="A191" s="1">
        <v>190</v>
      </c>
      <c r="C191" s="1" t="str">
        <f>IFERROR(VLOOKUP(B191,Sheet1!$D$14:$P$299,2,0),"")</f>
        <v/>
      </c>
      <c r="D191" s="1" t="str">
        <f>IFERROR(VLOOKUP(B191,Sheet1!$D$14:$P$299,3,0),"")</f>
        <v/>
      </c>
      <c r="E191" s="1" t="str">
        <f>IFERROR(VLOOKUP(B191,Sheet1!$D$14:$P$299,4,0),"")</f>
        <v/>
      </c>
      <c r="F191" s="1" t="str">
        <f>IFERROR(VLOOKUP(B191,Sheet1!$D$14:$P$299,54,0),"")</f>
        <v/>
      </c>
    </row>
    <row r="192" spans="1:6" x14ac:dyDescent="0.3">
      <c r="A192" s="1">
        <v>191</v>
      </c>
      <c r="C192" s="1" t="str">
        <f>IFERROR(VLOOKUP(B192,Sheet1!$D$14:$P$299,2,0),"")</f>
        <v/>
      </c>
      <c r="D192" s="1" t="str">
        <f>IFERROR(VLOOKUP(B192,Sheet1!$D$14:$P$299,3,0),"")</f>
        <v/>
      </c>
      <c r="E192" s="1" t="str">
        <f>IFERROR(VLOOKUP(B192,Sheet1!$D$14:$P$299,4,0),"")</f>
        <v/>
      </c>
      <c r="F192" s="1" t="str">
        <f>IFERROR(VLOOKUP(B192,Sheet1!$D$14:$P$299,54,0),"")</f>
        <v/>
      </c>
    </row>
    <row r="193" spans="1:6" x14ac:dyDescent="0.3">
      <c r="A193" s="1">
        <v>192</v>
      </c>
      <c r="C193" s="1" t="str">
        <f>IFERROR(VLOOKUP(B193,Sheet1!$D$14:$P$299,2,0),"")</f>
        <v/>
      </c>
      <c r="D193" s="1" t="str">
        <f>IFERROR(VLOOKUP(B193,Sheet1!$D$14:$P$299,3,0),"")</f>
        <v/>
      </c>
      <c r="E193" s="1" t="str">
        <f>IFERROR(VLOOKUP(B193,Sheet1!$D$14:$P$299,4,0),"")</f>
        <v/>
      </c>
      <c r="F193" s="1" t="str">
        <f>IFERROR(VLOOKUP(B193,Sheet1!$D$14:$P$299,54,0),"")</f>
        <v/>
      </c>
    </row>
    <row r="194" spans="1:6" x14ac:dyDescent="0.3">
      <c r="A194" s="1">
        <v>193</v>
      </c>
      <c r="C194" s="1" t="str">
        <f>IFERROR(VLOOKUP(B194,Sheet1!$D$14:$P$299,2,0),"")</f>
        <v/>
      </c>
      <c r="D194" s="1" t="str">
        <f>IFERROR(VLOOKUP(B194,Sheet1!$D$14:$P$299,3,0),"")</f>
        <v/>
      </c>
      <c r="E194" s="1" t="str">
        <f>IFERROR(VLOOKUP(B194,Sheet1!$D$14:$P$299,4,0),"")</f>
        <v/>
      </c>
      <c r="F194" s="1" t="str">
        <f>IFERROR(VLOOKUP(B194,Sheet1!$D$14:$P$299,54,0),"")</f>
        <v/>
      </c>
    </row>
    <row r="195" spans="1:6" x14ac:dyDescent="0.3">
      <c r="A195" s="1">
        <v>194</v>
      </c>
      <c r="C195" s="1" t="str">
        <f>IFERROR(VLOOKUP(B195,Sheet1!$D$14:$P$299,2,0),"")</f>
        <v/>
      </c>
      <c r="D195" s="1" t="str">
        <f>IFERROR(VLOOKUP(B195,Sheet1!$D$14:$P$299,3,0),"")</f>
        <v/>
      </c>
      <c r="E195" s="1" t="str">
        <f>IFERROR(VLOOKUP(B195,Sheet1!$D$14:$P$299,4,0),"")</f>
        <v/>
      </c>
      <c r="F195" s="1" t="str">
        <f>IFERROR(VLOOKUP(B195,Sheet1!$D$14:$P$299,54,0),"")</f>
        <v/>
      </c>
    </row>
    <row r="196" spans="1:6" x14ac:dyDescent="0.3">
      <c r="A196" s="1">
        <v>195</v>
      </c>
      <c r="C196" s="1" t="str">
        <f>IFERROR(VLOOKUP(B196,Sheet1!$D$14:$P$299,2,0),"")</f>
        <v/>
      </c>
      <c r="D196" s="1" t="str">
        <f>IFERROR(VLOOKUP(B196,Sheet1!$D$14:$P$299,3,0),"")</f>
        <v/>
      </c>
      <c r="E196" s="1" t="str">
        <f>IFERROR(VLOOKUP(B196,Sheet1!$D$14:$P$299,4,0),"")</f>
        <v/>
      </c>
      <c r="F196" s="1" t="str">
        <f>IFERROR(VLOOKUP(B196,Sheet1!$D$14:$P$299,54,0),"")</f>
        <v/>
      </c>
    </row>
    <row r="197" spans="1:6" x14ac:dyDescent="0.3">
      <c r="A197" s="1">
        <v>196</v>
      </c>
      <c r="C197" s="1" t="str">
        <f>IFERROR(VLOOKUP(B197,Sheet1!$D$14:$P$299,2,0),"")</f>
        <v/>
      </c>
      <c r="D197" s="1" t="str">
        <f>IFERROR(VLOOKUP(B197,Sheet1!$D$14:$P$299,3,0),"")</f>
        <v/>
      </c>
      <c r="E197" s="1" t="str">
        <f>IFERROR(VLOOKUP(B197,Sheet1!$D$14:$P$299,4,0),"")</f>
        <v/>
      </c>
      <c r="F197" s="1" t="str">
        <f>IFERROR(VLOOKUP(B197,Sheet1!$D$14:$P$299,54,0),"")</f>
        <v/>
      </c>
    </row>
    <row r="198" spans="1:6" x14ac:dyDescent="0.3">
      <c r="A198" s="1">
        <v>197</v>
      </c>
      <c r="C198" s="1" t="str">
        <f>IFERROR(VLOOKUP(B198,Sheet1!$D$14:$P$299,2,0),"")</f>
        <v/>
      </c>
      <c r="D198" s="1" t="str">
        <f>IFERROR(VLOOKUP(B198,Sheet1!$D$14:$P$299,3,0),"")</f>
        <v/>
      </c>
      <c r="E198" s="1" t="str">
        <f>IFERROR(VLOOKUP(B198,Sheet1!$D$14:$P$299,4,0),"")</f>
        <v/>
      </c>
      <c r="F198" s="1" t="str">
        <f>IFERROR(VLOOKUP(B198,Sheet1!$D$14:$P$299,54,0),"")</f>
        <v/>
      </c>
    </row>
    <row r="199" spans="1:6" x14ac:dyDescent="0.3">
      <c r="A199" s="1">
        <v>198</v>
      </c>
      <c r="C199" s="1" t="str">
        <f>IFERROR(VLOOKUP(B199,Sheet1!$D$14:$P$299,2,0),"")</f>
        <v/>
      </c>
      <c r="D199" s="1" t="str">
        <f>IFERROR(VLOOKUP(B199,Sheet1!$D$14:$P$299,3,0),"")</f>
        <v/>
      </c>
      <c r="E199" s="1" t="str">
        <f>IFERROR(VLOOKUP(B199,Sheet1!$D$14:$P$299,4,0),"")</f>
        <v/>
      </c>
      <c r="F199" s="1" t="str">
        <f>IFERROR(VLOOKUP(B199,Sheet1!$D$14:$P$299,54,0),"")</f>
        <v/>
      </c>
    </row>
    <row r="200" spans="1:6" x14ac:dyDescent="0.3">
      <c r="A200" s="1">
        <v>199</v>
      </c>
      <c r="C200" s="1" t="str">
        <f>IFERROR(VLOOKUP(B200,Sheet1!$D$14:$P$299,2,0),"")</f>
        <v/>
      </c>
      <c r="D200" s="1" t="str">
        <f>IFERROR(VLOOKUP(B200,Sheet1!$D$14:$P$299,3,0),"")</f>
        <v/>
      </c>
      <c r="E200" s="1" t="str">
        <f>IFERROR(VLOOKUP(B200,Sheet1!$D$14:$P$299,4,0),"")</f>
        <v/>
      </c>
      <c r="F200" s="1" t="str">
        <f>IFERROR(VLOOKUP(B200,Sheet1!$D$14:$P$299,54,0),"")</f>
        <v/>
      </c>
    </row>
    <row r="201" spans="1:6" x14ac:dyDescent="0.3">
      <c r="A201" s="1">
        <v>200</v>
      </c>
      <c r="C201" s="1" t="str">
        <f>IFERROR(VLOOKUP(B201,Sheet1!$D$14:$P$299,2,0),"")</f>
        <v/>
      </c>
      <c r="D201" s="1" t="str">
        <f>IFERROR(VLOOKUP(B201,Sheet1!$D$14:$P$299,3,0),"")</f>
        <v/>
      </c>
      <c r="E201" s="1" t="str">
        <f>IFERROR(VLOOKUP(B201,Sheet1!$D$14:$P$299,4,0),"")</f>
        <v/>
      </c>
      <c r="F201" s="1" t="str">
        <f>IFERROR(VLOOKUP(B201,Sheet1!$D$14:$P$299,54,0),"")</f>
        <v/>
      </c>
    </row>
    <row r="202" spans="1:6" x14ac:dyDescent="0.3">
      <c r="A202" s="1">
        <v>201</v>
      </c>
      <c r="C202" s="1" t="str">
        <f>IFERROR(VLOOKUP(B202,Sheet1!$D$14:$P$299,2,0),"")</f>
        <v/>
      </c>
      <c r="D202" s="1" t="str">
        <f>IFERROR(VLOOKUP(B202,Sheet1!$D$14:$P$299,3,0),"")</f>
        <v/>
      </c>
      <c r="E202" s="1" t="str">
        <f>IFERROR(VLOOKUP(B202,Sheet1!$D$14:$P$299,4,0),"")</f>
        <v/>
      </c>
      <c r="F202" s="1" t="str">
        <f>IFERROR(VLOOKUP(B202,Sheet1!$D$14:$P$299,54,0),"")</f>
        <v/>
      </c>
    </row>
    <row r="203" spans="1:6" x14ac:dyDescent="0.3">
      <c r="A203" s="1">
        <v>202</v>
      </c>
      <c r="C203" s="1" t="str">
        <f>IFERROR(VLOOKUP(B203,Sheet1!$D$14:$P$299,2,0),"")</f>
        <v/>
      </c>
      <c r="D203" s="1" t="str">
        <f>IFERROR(VLOOKUP(B203,Sheet1!$D$14:$P$299,3,0),"")</f>
        <v/>
      </c>
      <c r="E203" s="1" t="str">
        <f>IFERROR(VLOOKUP(B203,Sheet1!$D$14:$P$299,4,0),"")</f>
        <v/>
      </c>
      <c r="F203" s="1" t="str">
        <f>IFERROR(VLOOKUP(B203,Sheet1!$D$14:$P$299,54,0),"")</f>
        <v/>
      </c>
    </row>
    <row r="204" spans="1:6" x14ac:dyDescent="0.3">
      <c r="A204" s="1">
        <v>203</v>
      </c>
      <c r="C204" s="1" t="str">
        <f>IFERROR(VLOOKUP(B204,Sheet1!$D$14:$P$299,2,0),"")</f>
        <v/>
      </c>
      <c r="D204" s="1" t="str">
        <f>IFERROR(VLOOKUP(B204,Sheet1!$D$14:$P$299,3,0),"")</f>
        <v/>
      </c>
      <c r="E204" s="1" t="str">
        <f>IFERROR(VLOOKUP(B204,Sheet1!$D$14:$P$299,4,0),"")</f>
        <v/>
      </c>
      <c r="F204" s="1" t="str">
        <f>IFERROR(VLOOKUP(B204,Sheet1!$D$14:$P$299,54,0),"")</f>
        <v/>
      </c>
    </row>
    <row r="205" spans="1:6" x14ac:dyDescent="0.3">
      <c r="A205" s="1">
        <v>204</v>
      </c>
      <c r="C205" s="1" t="str">
        <f>IFERROR(VLOOKUP(B205,Sheet1!$D$14:$P$299,2,0),"")</f>
        <v/>
      </c>
      <c r="D205" s="1" t="str">
        <f>IFERROR(VLOOKUP(B205,Sheet1!$D$14:$P$299,3,0),"")</f>
        <v/>
      </c>
      <c r="E205" s="1" t="str">
        <f>IFERROR(VLOOKUP(B205,Sheet1!$D$14:$P$299,4,0),"")</f>
        <v/>
      </c>
      <c r="F205" s="1" t="str">
        <f>IFERROR(VLOOKUP(B205,Sheet1!$D$14:$P$299,54,0),"")</f>
        <v/>
      </c>
    </row>
    <row r="206" spans="1:6" x14ac:dyDescent="0.3">
      <c r="A206" s="1">
        <v>205</v>
      </c>
      <c r="C206" s="1" t="str">
        <f>IFERROR(VLOOKUP(B206,Sheet1!$D$14:$P$299,2,0),"")</f>
        <v/>
      </c>
      <c r="D206" s="1" t="str">
        <f>IFERROR(VLOOKUP(B206,Sheet1!$D$14:$P$299,3,0),"")</f>
        <v/>
      </c>
      <c r="E206" s="1" t="str">
        <f>IFERROR(VLOOKUP(B206,Sheet1!$D$14:$P$299,4,0),"")</f>
        <v/>
      </c>
      <c r="F206" s="1" t="str">
        <f>IFERROR(VLOOKUP(B206,Sheet1!$D$14:$P$299,54,0),"")</f>
        <v/>
      </c>
    </row>
    <row r="207" spans="1:6" x14ac:dyDescent="0.3">
      <c r="A207" s="1">
        <v>206</v>
      </c>
      <c r="C207" s="1" t="str">
        <f>IFERROR(VLOOKUP(B207,Sheet1!$D$14:$P$299,2,0),"")</f>
        <v/>
      </c>
      <c r="D207" s="1" t="str">
        <f>IFERROR(VLOOKUP(B207,Sheet1!$D$14:$P$299,3,0),"")</f>
        <v/>
      </c>
      <c r="E207" s="1" t="str">
        <f>IFERROR(VLOOKUP(B207,Sheet1!$D$14:$P$299,4,0),"")</f>
        <v/>
      </c>
      <c r="F207" s="1" t="str">
        <f>IFERROR(VLOOKUP(B207,Sheet1!$D$14:$P$299,54,0),"")</f>
        <v/>
      </c>
    </row>
    <row r="208" spans="1:6" x14ac:dyDescent="0.3">
      <c r="A208" s="1">
        <v>207</v>
      </c>
      <c r="C208" s="1" t="str">
        <f>IFERROR(VLOOKUP(B208,Sheet1!$D$14:$P$299,2,0),"")</f>
        <v/>
      </c>
      <c r="D208" s="1" t="str">
        <f>IFERROR(VLOOKUP(B208,Sheet1!$D$14:$P$299,3,0),"")</f>
        <v/>
      </c>
      <c r="E208" s="1" t="str">
        <f>IFERROR(VLOOKUP(B208,Sheet1!$D$14:$P$299,4,0),"")</f>
        <v/>
      </c>
      <c r="F208" s="1" t="str">
        <f>IFERROR(VLOOKUP(B208,Sheet1!$D$14:$P$299,54,0),"")</f>
        <v/>
      </c>
    </row>
    <row r="209" spans="1:6" x14ac:dyDescent="0.3">
      <c r="A209" s="1">
        <v>208</v>
      </c>
      <c r="C209" s="1" t="str">
        <f>IFERROR(VLOOKUP(B209,Sheet1!$D$14:$P$299,2,0),"")</f>
        <v/>
      </c>
      <c r="D209" s="1" t="str">
        <f>IFERROR(VLOOKUP(B209,Sheet1!$D$14:$P$299,3,0),"")</f>
        <v/>
      </c>
      <c r="E209" s="1" t="str">
        <f>IFERROR(VLOOKUP(B209,Sheet1!$D$14:$P$299,4,0),"")</f>
        <v/>
      </c>
      <c r="F209" s="1" t="str">
        <f>IFERROR(VLOOKUP(B209,Sheet1!$D$14:$P$299,54,0),"")</f>
        <v/>
      </c>
    </row>
    <row r="210" spans="1:6" x14ac:dyDescent="0.3">
      <c r="A210" s="1">
        <v>209</v>
      </c>
      <c r="C210" s="1" t="str">
        <f>IFERROR(VLOOKUP(B210,Sheet1!$D$14:$P$299,2,0),"")</f>
        <v/>
      </c>
      <c r="D210" s="1" t="str">
        <f>IFERROR(VLOOKUP(B210,Sheet1!$D$14:$P$299,3,0),"")</f>
        <v/>
      </c>
      <c r="E210" s="1" t="str">
        <f>IFERROR(VLOOKUP(B210,Sheet1!$D$14:$P$299,4,0),"")</f>
        <v/>
      </c>
      <c r="F210" s="1" t="str">
        <f>IFERROR(VLOOKUP(B210,Sheet1!$D$14:$P$299,54,0),"")</f>
        <v/>
      </c>
    </row>
    <row r="211" spans="1:6" x14ac:dyDescent="0.3">
      <c r="A211" s="1">
        <v>210</v>
      </c>
      <c r="C211" s="1" t="str">
        <f>IFERROR(VLOOKUP(B211,Sheet1!$D$14:$P$299,2,0),"")</f>
        <v/>
      </c>
      <c r="D211" s="1" t="str">
        <f>IFERROR(VLOOKUP(B211,Sheet1!$D$14:$P$299,3,0),"")</f>
        <v/>
      </c>
      <c r="E211" s="1" t="str">
        <f>IFERROR(VLOOKUP(B211,Sheet1!$D$14:$P$299,4,0),"")</f>
        <v/>
      </c>
      <c r="F211" s="1" t="str">
        <f>IFERROR(VLOOKUP(B211,Sheet1!$D$14:$P$299,54,0),"")</f>
        <v/>
      </c>
    </row>
    <row r="212" spans="1:6" x14ac:dyDescent="0.3">
      <c r="A212" s="1">
        <v>211</v>
      </c>
      <c r="C212" s="1" t="str">
        <f>IFERROR(VLOOKUP(B212,Sheet1!$D$14:$P$299,2,0),"")</f>
        <v/>
      </c>
      <c r="D212" s="1" t="str">
        <f>IFERROR(VLOOKUP(B212,Sheet1!$D$14:$P$299,3,0),"")</f>
        <v/>
      </c>
      <c r="E212" s="1" t="str">
        <f>IFERROR(VLOOKUP(B212,Sheet1!$D$14:$P$299,4,0),"")</f>
        <v/>
      </c>
      <c r="F212" s="1" t="str">
        <f>IFERROR(VLOOKUP(B212,Sheet1!$D$14:$P$299,54,0),"")</f>
        <v/>
      </c>
    </row>
    <row r="213" spans="1:6" x14ac:dyDescent="0.3">
      <c r="A213" s="1">
        <v>212</v>
      </c>
      <c r="C213" s="1" t="str">
        <f>IFERROR(VLOOKUP(B213,Sheet1!$D$14:$P$299,2,0),"")</f>
        <v/>
      </c>
      <c r="D213" s="1" t="str">
        <f>IFERROR(VLOOKUP(B213,Sheet1!$D$14:$P$299,3,0),"")</f>
        <v/>
      </c>
      <c r="E213" s="1" t="str">
        <f>IFERROR(VLOOKUP(B213,Sheet1!$D$14:$P$299,4,0),"")</f>
        <v/>
      </c>
      <c r="F213" s="1" t="str">
        <f>IFERROR(VLOOKUP(B213,Sheet1!$D$14:$P$299,54,0),"")</f>
        <v/>
      </c>
    </row>
    <row r="214" spans="1:6" x14ac:dyDescent="0.3">
      <c r="A214" s="1">
        <v>213</v>
      </c>
      <c r="C214" s="1" t="str">
        <f>IFERROR(VLOOKUP(B214,Sheet1!$D$14:$P$299,2,0),"")</f>
        <v/>
      </c>
      <c r="D214" s="1" t="str">
        <f>IFERROR(VLOOKUP(B214,Sheet1!$D$14:$P$299,3,0),"")</f>
        <v/>
      </c>
      <c r="E214" s="1" t="str">
        <f>IFERROR(VLOOKUP(B214,Sheet1!$D$14:$P$299,4,0),"")</f>
        <v/>
      </c>
      <c r="F214" s="1" t="str">
        <f>IFERROR(VLOOKUP(B214,Sheet1!$D$14:$P$299,54,0),"")</f>
        <v/>
      </c>
    </row>
    <row r="215" spans="1:6" x14ac:dyDescent="0.3">
      <c r="A215" s="1">
        <v>214</v>
      </c>
      <c r="C215" s="1" t="str">
        <f>IFERROR(VLOOKUP(B215,Sheet1!$D$14:$P$299,2,0),"")</f>
        <v/>
      </c>
      <c r="D215" s="1" t="str">
        <f>IFERROR(VLOOKUP(B215,Sheet1!$D$14:$P$299,3,0),"")</f>
        <v/>
      </c>
      <c r="E215" s="1" t="str">
        <f>IFERROR(VLOOKUP(B215,Sheet1!$D$14:$P$299,4,0),"")</f>
        <v/>
      </c>
      <c r="F215" s="1" t="str">
        <f>IFERROR(VLOOKUP(B215,Sheet1!$D$14:$P$299,54,0),"")</f>
        <v/>
      </c>
    </row>
    <row r="216" spans="1:6" x14ac:dyDescent="0.3">
      <c r="A216" s="1">
        <v>215</v>
      </c>
      <c r="C216" s="1" t="str">
        <f>IFERROR(VLOOKUP(B216,Sheet1!$D$14:$P$299,2,0),"")</f>
        <v/>
      </c>
      <c r="D216" s="1" t="str">
        <f>IFERROR(VLOOKUP(B216,Sheet1!$D$14:$P$299,3,0),"")</f>
        <v/>
      </c>
      <c r="E216" s="1" t="str">
        <f>IFERROR(VLOOKUP(B216,Sheet1!$D$14:$P$299,4,0),"")</f>
        <v/>
      </c>
      <c r="F216" s="1" t="str">
        <f>IFERROR(VLOOKUP(B216,Sheet1!$D$14:$P$299,54,0),"")</f>
        <v/>
      </c>
    </row>
    <row r="217" spans="1:6" x14ac:dyDescent="0.3">
      <c r="A217" s="1">
        <v>216</v>
      </c>
      <c r="C217" s="1" t="str">
        <f>IFERROR(VLOOKUP(B217,Sheet1!$D$14:$P$299,2,0),"")</f>
        <v/>
      </c>
      <c r="D217" s="1" t="str">
        <f>IFERROR(VLOOKUP(B217,Sheet1!$D$14:$P$299,3,0),"")</f>
        <v/>
      </c>
      <c r="E217" s="1" t="str">
        <f>IFERROR(VLOOKUP(B217,Sheet1!$D$14:$P$299,4,0),"")</f>
        <v/>
      </c>
      <c r="F217" s="1" t="str">
        <f>IFERROR(VLOOKUP(B217,Sheet1!$D$14:$P$299,54,0),"")</f>
        <v/>
      </c>
    </row>
    <row r="218" spans="1:6" x14ac:dyDescent="0.3">
      <c r="A218" s="1">
        <v>217</v>
      </c>
      <c r="C218" s="1" t="str">
        <f>IFERROR(VLOOKUP(B218,Sheet1!$D$14:$P$299,2,0),"")</f>
        <v/>
      </c>
      <c r="D218" s="1" t="str">
        <f>IFERROR(VLOOKUP(B218,Sheet1!$D$14:$P$299,3,0),"")</f>
        <v/>
      </c>
      <c r="E218" s="1" t="str">
        <f>IFERROR(VLOOKUP(B218,Sheet1!$D$14:$P$299,4,0),"")</f>
        <v/>
      </c>
      <c r="F218" s="1" t="str">
        <f>IFERROR(VLOOKUP(B218,Sheet1!$D$14:$P$299,54,0),"")</f>
        <v/>
      </c>
    </row>
    <row r="219" spans="1:6" x14ac:dyDescent="0.3">
      <c r="A219" s="1">
        <v>218</v>
      </c>
      <c r="C219" s="1" t="str">
        <f>IFERROR(VLOOKUP(B219,Sheet1!$D$14:$P$299,2,0),"")</f>
        <v/>
      </c>
      <c r="D219" s="1" t="str">
        <f>IFERROR(VLOOKUP(B219,Sheet1!$D$14:$P$299,3,0),"")</f>
        <v/>
      </c>
      <c r="E219" s="1" t="str">
        <f>IFERROR(VLOOKUP(B219,Sheet1!$D$14:$P$299,4,0),"")</f>
        <v/>
      </c>
      <c r="F219" s="1" t="str">
        <f>IFERROR(VLOOKUP(B219,Sheet1!$D$14:$P$299,54,0),"")</f>
        <v/>
      </c>
    </row>
    <row r="220" spans="1:6" x14ac:dyDescent="0.3">
      <c r="A220" s="1">
        <v>219</v>
      </c>
      <c r="C220" s="1" t="str">
        <f>IFERROR(VLOOKUP(B220,Sheet1!$D$14:$P$299,2,0),"")</f>
        <v/>
      </c>
      <c r="D220" s="1" t="str">
        <f>IFERROR(VLOOKUP(B220,Sheet1!$D$14:$P$299,3,0),"")</f>
        <v/>
      </c>
      <c r="E220" s="1" t="str">
        <f>IFERROR(VLOOKUP(B220,Sheet1!$D$14:$P$299,4,0),"")</f>
        <v/>
      </c>
      <c r="F220" s="1" t="str">
        <f>IFERROR(VLOOKUP(B220,Sheet1!$D$14:$P$299,54,0),"")</f>
        <v/>
      </c>
    </row>
    <row r="221" spans="1:6" x14ac:dyDescent="0.3">
      <c r="A221" s="1">
        <v>220</v>
      </c>
      <c r="C221" s="1" t="str">
        <f>IFERROR(VLOOKUP(B221,Sheet1!$D$14:$P$299,2,0),"")</f>
        <v/>
      </c>
      <c r="D221" s="1" t="str">
        <f>IFERROR(VLOOKUP(B221,Sheet1!$D$14:$P$299,3,0),"")</f>
        <v/>
      </c>
      <c r="E221" s="1" t="str">
        <f>IFERROR(VLOOKUP(B221,Sheet1!$D$14:$P$299,4,0),"")</f>
        <v/>
      </c>
      <c r="F221" s="1" t="str">
        <f>IFERROR(VLOOKUP(B221,Sheet1!$D$14:$P$299,54,0),"")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From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2025-08-11T07:27:53Z</dcterms:modified>
</cp:coreProperties>
</file>