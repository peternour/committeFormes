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Sheet1!$B$3:$B$7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10" i="1"/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10" i="1"/>
  <c r="E27" i="1" l="1"/>
  <c r="E29" i="1"/>
  <c r="E26" i="1"/>
  <c r="E28" i="1"/>
  <c r="E24" i="1"/>
  <c r="E25" i="1"/>
  <c r="E10" i="1"/>
  <c r="E23" i="1"/>
  <c r="E22" i="1"/>
  <c r="E11" i="1"/>
  <c r="E12" i="1"/>
  <c r="E19" i="1"/>
  <c r="E15" i="1"/>
  <c r="E20" i="1"/>
  <c r="E16" i="1"/>
  <c r="E21" i="1"/>
  <c r="E17" i="1"/>
  <c r="E13" i="1"/>
  <c r="E18" i="1"/>
  <c r="E14" i="1"/>
  <c r="D7" i="1"/>
  <c r="D6" i="1"/>
  <c r="D5" i="1"/>
  <c r="D4" i="1"/>
  <c r="D3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F8" i="2" l="1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<sst xmlns="http://schemas.openxmlformats.org/spreadsheetml/2006/main" count="32" uniqueCount="23">
  <si>
    <t>أ</t>
  </si>
  <si>
    <t>ب</t>
  </si>
  <si>
    <t>ج</t>
  </si>
  <si>
    <t>د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</si>
  <si>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</si>
  <si>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</si>
  <si>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</si>
  <si>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</si>
  <si>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</si>
  <si>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</si>
  <si>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</si>
  <si>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</si>
  <si>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</si>
  <si>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</si>
  <si>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</si>
  <si>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</si>
  <si>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</si>
  <si>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</si>
  <si>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</si>
  <si>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</si>
  <si>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</si>
  <si>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</si>
  <si>
    <t>الترويج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</si>
</sst>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7" fillId="0" borderId="4" xfId="0" applyFont="1" applyBorder="1" applyAlignment="1" applyProtection="1">
      <alignment horizontal="right" vertical="center" indent="1"/>
    </xf>
    <xf numFmtId="0" fontId="8" fillId="0" borderId="4" xfId="0" applyFont="1" applyBorder="1" applyAlignment="1" applyProtection="1">
      <alignment horizontal="right" vertical="center" indent="1"/>
    </xf>
    <xf numFmtId="0" fontId="9" fillId="3" borderId="1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C5" sqref="C5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5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4</v>
      </c>
      <c r="C2" s="6" t="s">
        <v>5</v>
      </c>
      <c r="D2" s="6" t="s">
        <v>6</v>
      </c>
      <c r="G2" s="13" t="s">
        <v>18</v>
      </c>
      <c r="H2" s="13" t="s">
        <v>4</v>
      </c>
      <c r="I2" s="13" t="s">
        <v>5</v>
      </c>
      <c r="J2" s="15" t="s">
        <v>7</v>
      </c>
      <c r="K2" s="15" t="s">
        <v>17</v>
      </c>
      <c r="L2" s="7" t="s">
        <v>9</v>
      </c>
      <c r="M2" s="7" t="s">
        <v>22</v>
      </c>
      <c r="N2" s="7" t="s">
        <v>8</v>
      </c>
    </row>
    <row r="3" spans="2:15" ht="21" customHeight="1" x14ac:dyDescent="0.3">
      <c r="B3" s="27"/>
      <c r="C3" s="27"/>
      <c r="D3" s="7" t="str">
        <f>J2</f>
        <v>ايدي</v>
      </c>
      <c r="E3" s="12"/>
      <c r="G3" s="7" t="s">
        <v>0</v>
      </c>
      <c r="H3" s="13">
        <v>6000</v>
      </c>
      <c r="I3" s="13">
        <v>14000</v>
      </c>
      <c r="J3" s="14">
        <v>158</v>
      </c>
      <c r="K3" s="14">
        <v>164</v>
      </c>
      <c r="L3" s="13">
        <v>161</v>
      </c>
      <c r="M3" s="13">
        <v>156</v>
      </c>
      <c r="N3" s="13">
        <v>154</v>
      </c>
    </row>
    <row r="4" spans="2:15" ht="21" customHeight="1" x14ac:dyDescent="0.3">
      <c r="B4" s="27">
        <v>6000</v>
      </c>
      <c r="C4" s="27">
        <v>100000</v>
      </c>
      <c r="D4" s="7" t="str">
        <f>K2</f>
        <v>الاسكندرية</v>
      </c>
      <c r="E4" s="12"/>
      <c r="G4" s="7" t="s">
        <v>1</v>
      </c>
      <c r="H4" s="13">
        <v>14001</v>
      </c>
      <c r="I4" s="13">
        <v>100000</v>
      </c>
      <c r="J4" s="14">
        <v>159</v>
      </c>
      <c r="K4" s="14">
        <v>165</v>
      </c>
      <c r="L4" s="13">
        <v>162</v>
      </c>
      <c r="M4" s="13">
        <v>156</v>
      </c>
      <c r="N4" s="13">
        <v>154</v>
      </c>
    </row>
    <row r="5" spans="2:15" ht="21" customHeight="1" x14ac:dyDescent="0.3">
      <c r="B5" s="27"/>
      <c r="C5" s="27"/>
      <c r="D5" s="7" t="str">
        <f>L2</f>
        <v>الاهلي</v>
      </c>
      <c r="E5" s="12"/>
      <c r="G5" s="7" t="s">
        <v>2</v>
      </c>
      <c r="H5" s="13">
        <v>100001</v>
      </c>
      <c r="I5" s="13">
        <v>266000</v>
      </c>
      <c r="J5" s="14">
        <v>160</v>
      </c>
      <c r="K5" s="14">
        <v>166</v>
      </c>
      <c r="L5" s="13">
        <v>163</v>
      </c>
      <c r="M5" s="13">
        <v>156</v>
      </c>
      <c r="N5" s="13">
        <v>154</v>
      </c>
    </row>
    <row r="6" spans="2:15" ht="21" customHeight="1" x14ac:dyDescent="0.3">
      <c r="B6" s="27"/>
      <c r="C6" s="27"/>
      <c r="D6" s="7" t="str">
        <f>M2</f>
        <v>الترويج</v>
      </c>
      <c r="E6" s="12"/>
      <c r="G6" s="7" t="s">
        <v>3</v>
      </c>
      <c r="H6" s="13" t="s">
        <v>10</v>
      </c>
      <c r="I6" s="13" t="s">
        <v>10</v>
      </c>
      <c r="J6" s="14" t="s">
        <v>10</v>
      </c>
      <c r="K6" s="14" t="s">
        <v>10</v>
      </c>
      <c r="L6" s="13" t="s">
        <v>10</v>
      </c>
      <c r="M6" s="13" t="s">
        <v>10</v>
      </c>
      <c r="N6" s="13" t="s">
        <v>10</v>
      </c>
    </row>
    <row r="7" spans="2:15" ht="21" customHeight="1" x14ac:dyDescent="0.3">
      <c r="B7" s="27"/>
      <c r="C7" s="27"/>
      <c r="D7" s="7" t="str">
        <f>N2</f>
        <v>الاسباني</v>
      </c>
      <c r="E7" s="12"/>
      <c r="H7" s="5"/>
      <c r="I7" s="5"/>
      <c r="J7" s="5"/>
      <c r="K7" s="5"/>
      <c r="L7" s="5"/>
      <c r="M7" s="5"/>
      <c r="N7" s="5"/>
      <c r="O7" s="5"/>
    </row>
    <row r="8" spans="2:15" ht="8.25" customHeight="1" x14ac:dyDescent="0.3">
      <c r="B8" s="20"/>
      <c r="C8" s="20"/>
      <c r="D8" s="21"/>
      <c r="E8" s="22"/>
      <c r="H8" s="5"/>
      <c r="I8" s="5"/>
      <c r="J8" s="5"/>
      <c r="K8" s="5"/>
      <c r="L8" s="5"/>
      <c r="M8" s="5"/>
      <c r="N8" s="5"/>
      <c r="O8" s="5"/>
    </row>
    <row r="9" spans="2:15" ht="26.25" customHeight="1" x14ac:dyDescent="0.3">
      <c r="B9" s="26" t="s">
        <v>19</v>
      </c>
      <c r="C9" s="26" t="s">
        <v>20</v>
      </c>
      <c r="D9" s="26" t="s">
        <v>21</v>
      </c>
      <c r="E9" s="26" t="s">
        <v>11</v>
      </c>
    </row>
    <row r="10" spans="2:15" ht="18" x14ac:dyDescent="0.3">
      <c r="B10" s="23">
        <v>50000</v>
      </c>
      <c r="C10" s="28" t="str">
        <f>IFERROR(CHOOSE(MATCH(B10,{6000,14001,100001,266000}),$G$3,$G$4,$G$5,$G$6),"")</f>
        <v>ب</v>
      </c>
      <c r="D10" s="24" t="str">
        <f>IFERROR(VLOOKUP(B10,$B$2:$D$7,3,1),"")</f>
        <v>الاسكندرية</v>
      </c>
      <c r="E10" s="25">
        <f t="shared" ref="E10:E29" si="0">IFERROR(INDEX($J$3:$N$6,MATCH(C10,$G$3:$G$6,0),MATCH(D10,$J$2:$N$2,0)),"")</f>
        <v>165</v>
      </c>
      <c r="F10" s="11" t="str">
        <f>IF(MAX($B$3:$C$7)&lt;B10,"ERR","OK")</f>
        <v>OK</v>
      </c>
    </row>
    <row r="11" spans="2:15" ht="18" x14ac:dyDescent="0.3">
      <c r="B11" s="17">
        <v>40000</v>
      </c>
      <c r="C11" s="28" t="str">
        <f>IFERROR(CHOOSE(MATCH(B11,{6000,14001,100001,266000}),$G$3,$G$4,$G$5,$G$6),"")</f>
        <v>ب</v>
      </c>
      <c r="D11" s="18" t="str">
        <f t="shared" ref="D11:D29" si="1">IFERROR(VLOOKUP(B11,$B$2:$D$7,3,1),"")</f>
        <v>الاسكندرية</v>
      </c>
      <c r="E11" s="19">
        <f t="shared" si="0"/>
        <v>165</v>
      </c>
      <c r="F11" s="11" t="str">
        <f t="shared" ref="F11:F29" si="2">IF(MAX($B$3:$C$7)&lt;B11,"ERR","OK")</f>
        <v>OK</v>
      </c>
    </row>
    <row r="12" spans="2:15" ht="18" x14ac:dyDescent="0.3">
      <c r="B12" s="17">
        <v>50000</v>
      </c>
      <c r="C12" s="28" t="str">
        <f>IFERROR(CHOOSE(MATCH(B12,{6000,14001,100001,266000}),$G$3,$G$4,$G$5,$G$6),"")</f>
        <v>ب</v>
      </c>
      <c r="D12" s="18" t="str">
        <f t="shared" si="1"/>
        <v>الاسكندرية</v>
      </c>
      <c r="E12" s="19">
        <f t="shared" si="0"/>
        <v>165</v>
      </c>
      <c r="F12" s="11" t="str">
        <f t="shared" si="2"/>
        <v>OK</v>
      </c>
    </row>
    <row r="13" spans="2:15" ht="18" x14ac:dyDescent="0.3">
      <c r="B13" s="17">
        <v>10000</v>
      </c>
      <c r="C13" s="28" t="str">
        <f>IFERROR(CHOOSE(MATCH(B13,{6000,14001,100001,266000}),$G$3,$G$4,$G$5,$G$6),"")</f>
        <v>أ</v>
      </c>
      <c r="D13" s="18" t="str">
        <f t="shared" si="1"/>
        <v>الاسكندرية</v>
      </c>
      <c r="E13" s="19">
        <f t="shared" si="0"/>
        <v>164</v>
      </c>
      <c r="F13" s="11" t="str">
        <f t="shared" si="2"/>
        <v>OK</v>
      </c>
      <c r="G13" s="11"/>
      <c r="H13" s="11"/>
    </row>
    <row r="14" spans="2:15" s="8" customFormat="1" ht="18" x14ac:dyDescent="0.3">
      <c r="B14" s="17">
        <v>40000</v>
      </c>
      <c r="C14" s="28" t="str">
        <f>IFERROR(CHOOSE(MATCH(B14,{6000,14001,100001,266000}),$G$3,$G$4,$G$5,$G$6),"")</f>
        <v>ب</v>
      </c>
      <c r="D14" s="18" t="str">
        <f t="shared" si="1"/>
        <v>الاسكندرية</v>
      </c>
      <c r="E14" s="19">
        <f t="shared" si="0"/>
        <v>165</v>
      </c>
      <c r="F14" s="11" t="str">
        <f t="shared" si="2"/>
        <v>OK</v>
      </c>
      <c r="G14" s="9"/>
    </row>
    <row r="15" spans="2:15" ht="18" x14ac:dyDescent="0.3">
      <c r="B15" s="17">
        <v>35000</v>
      </c>
      <c r="C15" s="28" t="str">
        <f>IFERROR(CHOOSE(MATCH(B15,{6000,14001,100001,266000}),$G$3,$G$4,$G$5,$G$6),"")</f>
        <v>ب</v>
      </c>
      <c r="D15" s="18" t="str">
        <f t="shared" si="1"/>
        <v>الاسكندرية</v>
      </c>
      <c r="E15" s="19">
        <f t="shared" si="0"/>
        <v>165</v>
      </c>
      <c r="F15" s="11" t="str">
        <f t="shared" si="2"/>
        <v>OK</v>
      </c>
    </row>
    <row r="16" spans="2:15" ht="18" x14ac:dyDescent="0.3">
      <c r="B16" s="17">
        <v>15000</v>
      </c>
      <c r="C16" s="28" t="str">
        <f>IFERROR(CHOOSE(MATCH(B16,{6000,14001,100001,266000}),$G$3,$G$4,$G$5,$G$6),"")</f>
        <v>ب</v>
      </c>
      <c r="D16" s="18" t="str">
        <f t="shared" si="1"/>
        <v>الاسكندرية</v>
      </c>
      <c r="E16" s="19">
        <f t="shared" si="0"/>
        <v>165</v>
      </c>
      <c r="F16" s="11" t="str">
        <f t="shared" si="2"/>
        <v>OK</v>
      </c>
    </row>
    <row r="17" spans="2:6" ht="18" x14ac:dyDescent="0.3">
      <c r="B17" s="17">
        <v>40000</v>
      </c>
      <c r="C17" s="28" t="str">
        <f>IFERROR(CHOOSE(MATCH(B17,{6000,14001,100001,266000}),$G$3,$G$4,$G$5,$G$6),"")</f>
        <v>ب</v>
      </c>
      <c r="D17" s="18" t="str">
        <f t="shared" si="1"/>
        <v>الاسكندرية</v>
      </c>
      <c r="E17" s="19">
        <f t="shared" si="0"/>
        <v>165</v>
      </c>
      <c r="F17" s="11" t="str">
        <f t="shared" si="2"/>
        <v>OK</v>
      </c>
    </row>
    <row r="18" spans="2:6" ht="18" x14ac:dyDescent="0.3">
      <c r="B18" s="17">
        <v>30000</v>
      </c>
      <c r="C18" s="28" t="str">
        <f>IFERROR(CHOOSE(MATCH(B18,{6000,14001,100001,266000}),$G$3,$G$4,$G$5,$G$6),"")</f>
        <v>ب</v>
      </c>
      <c r="D18" s="18" t="str">
        <f t="shared" si="1"/>
        <v>الاسكندرية</v>
      </c>
      <c r="E18" s="19">
        <f t="shared" si="0"/>
        <v>165</v>
      </c>
      <c r="F18" s="11" t="str">
        <f t="shared" si="2"/>
        <v>OK</v>
      </c>
    </row>
    <row r="19" spans="2:6" ht="18" x14ac:dyDescent="0.3">
      <c r="B19" s="17">
        <v>25000</v>
      </c>
      <c r="C19" s="28" t="str">
        <f>IFERROR(CHOOSE(MATCH(B19,{6000,14001,100001,266000}),$G$3,$G$4,$G$5,$G$6),"")</f>
        <v>ب</v>
      </c>
      <c r="D19" s="18" t="str">
        <f t="shared" si="1"/>
        <v>الاسكندرية</v>
      </c>
      <c r="E19" s="19">
        <f t="shared" si="0"/>
        <v>165</v>
      </c>
      <c r="F19" s="11" t="str">
        <f t="shared" si="2"/>
        <v>OK</v>
      </c>
    </row>
    <row r="20" spans="2:6" ht="18" x14ac:dyDescent="0.3">
      <c r="B20" s="17"/>
      <c r="C20" s="28" t="str">
        <f>IFERROR(CHOOSE(MATCH(B20,{6000,14001,100001,266000}),$G$3,$G$4,$G$5,$G$6),"")</f>
        <v/>
      </c>
      <c r="D20" s="18" t="str">
        <f t="shared" si="1"/>
        <v/>
      </c>
      <c r="E20" s="19" t="str">
        <f t="shared" si="0"/>
        <v/>
      </c>
      <c r="F20" s="11" t="str">
        <f>IF(MAX($B$3:$C$7)&lt;B20,"ERR","OK")</f>
        <v>OK</v>
      </c>
    </row>
    <row r="21" spans="2:6" ht="18" x14ac:dyDescent="0.3">
      <c r="B21" s="17"/>
      <c r="C21" s="28" t="str">
        <f>IFERROR(CHOOSE(MATCH(B21,{6000,14001,100001,266000}),$G$3,$G$4,$G$5,$G$6),"")</f>
        <v/>
      </c>
      <c r="D21" s="18" t="str">
        <f t="shared" si="1"/>
        <v/>
      </c>
      <c r="E21" s="19" t="str">
        <f t="shared" si="0"/>
        <v/>
      </c>
      <c r="F21" s="11" t="str">
        <f t="shared" si="2"/>
        <v>OK</v>
      </c>
    </row>
    <row r="22" spans="2:6" ht="18" x14ac:dyDescent="0.3">
      <c r="B22" s="17"/>
      <c r="C22" s="28" t="str">
        <f>IFERROR(CHOOSE(MATCH(B22,{6000,14001,100001,266000}),$G$3,$G$4,$G$5,$G$6),"")</f>
        <v/>
      </c>
      <c r="D22" s="18" t="str">
        <f t="shared" si="1"/>
        <v/>
      </c>
      <c r="E22" s="19" t="str">
        <f t="shared" si="0"/>
        <v/>
      </c>
      <c r="F22" s="11" t="str">
        <f t="shared" si="2"/>
        <v>OK</v>
      </c>
    </row>
    <row r="23" spans="2:6" ht="18" x14ac:dyDescent="0.3">
      <c r="B23" s="17"/>
      <c r="C23" s="28" t="str">
        <f>IFERROR(CHOOSE(MATCH(B23,{6000,14001,100001,266000}),$G$3,$G$4,$G$5,$G$6),"")</f>
        <v/>
      </c>
      <c r="D23" s="18" t="str">
        <f t="shared" si="1"/>
        <v/>
      </c>
      <c r="E23" s="19" t="str">
        <f t="shared" si="0"/>
        <v/>
      </c>
      <c r="F23" s="11" t="str">
        <f t="shared" si="2"/>
        <v>OK</v>
      </c>
    </row>
    <row r="24" spans="2:6" ht="18" x14ac:dyDescent="0.3">
      <c r="B24" s="17"/>
      <c r="C24" s="28" t="str">
        <f>IFERROR(CHOOSE(MATCH(B24,{6000,14001,100001,266000}),$G$3,$G$4,$G$5,$G$6),"")</f>
        <v/>
      </c>
      <c r="D24" s="18" t="str">
        <f t="shared" si="1"/>
        <v/>
      </c>
      <c r="E24" s="19" t="str">
        <f t="shared" si="0"/>
        <v/>
      </c>
      <c r="F24" s="11" t="str">
        <f t="shared" si="2"/>
        <v>OK</v>
      </c>
    </row>
    <row r="25" spans="2:6" ht="18" x14ac:dyDescent="0.3">
      <c r="B25" s="17"/>
      <c r="C25" s="28" t="str">
        <f>IFERROR(CHOOSE(MATCH(B25,{6000,14001,100001,266000}),$G$3,$G$4,$G$5,$G$6),"")</f>
        <v/>
      </c>
      <c r="D25" s="18" t="str">
        <f t="shared" si="1"/>
        <v/>
      </c>
      <c r="E25" s="19" t="str">
        <f t="shared" si="0"/>
        <v/>
      </c>
      <c r="F25" s="11" t="str">
        <f t="shared" si="2"/>
        <v>OK</v>
      </c>
    </row>
    <row r="26" spans="2:6" ht="18" x14ac:dyDescent="0.3">
      <c r="B26" s="17"/>
      <c r="C26" s="28" t="str">
        <f>IFERROR(CHOOSE(MATCH(B26,{6000,14001,100001,266000}),$G$3,$G$4,$G$5,$G$6),"")</f>
        <v/>
      </c>
      <c r="D26" s="18" t="str">
        <f t="shared" si="1"/>
        <v/>
      </c>
      <c r="E26" s="19" t="str">
        <f t="shared" si="0"/>
        <v/>
      </c>
      <c r="F26" s="11" t="str">
        <f t="shared" si="2"/>
        <v>OK</v>
      </c>
    </row>
    <row r="27" spans="2:6" ht="18" x14ac:dyDescent="0.3">
      <c r="B27" s="17"/>
      <c r="C27" s="28" t="str">
        <f>IFERROR(CHOOSE(MATCH(B27,{6000,14001,100001,266000}),$G$3,$G$4,$G$5,$G$6),"")</f>
        <v/>
      </c>
      <c r="D27" s="18" t="str">
        <f t="shared" si="1"/>
        <v/>
      </c>
      <c r="E27" s="19" t="str">
        <f t="shared" si="0"/>
        <v/>
      </c>
      <c r="F27" s="11" t="str">
        <f t="shared" si="2"/>
        <v>OK</v>
      </c>
    </row>
    <row r="28" spans="2:6" ht="18" x14ac:dyDescent="0.3">
      <c r="B28" s="17"/>
      <c r="C28" s="28" t="str">
        <f>IFERROR(CHOOSE(MATCH(B28,{6000,14001,100001,266000}),$G$3,$G$4,$G$5,$G$6),"")</f>
        <v/>
      </c>
      <c r="D28" s="18" t="str">
        <f t="shared" si="1"/>
        <v/>
      </c>
      <c r="E28" s="19" t="str">
        <f t="shared" si="0"/>
        <v/>
      </c>
      <c r="F28" s="11" t="str">
        <f t="shared" si="2"/>
        <v>OK</v>
      </c>
    </row>
    <row r="29" spans="2:6" ht="18" x14ac:dyDescent="0.3">
      <c r="B29" s="17"/>
      <c r="C29" s="28" t="str">
        <f>IFERROR(CHOOSE(MATCH(B29,{6000,14001,100001,266000}),$G$3,$G$4,$G$5,$G$6),"")</f>
        <v/>
      </c>
      <c r="D29" s="18" t="str">
        <f t="shared" si="1"/>
        <v/>
      </c>
      <c r="E29" s="19" t="str">
        <f t="shared" si="0"/>
        <v/>
      </c>
      <c r="F29" s="11" t="str">
        <f t="shared" si="2"/>
        <v>OK</v>
      </c>
    </row>
    <row r="30" spans="2:6" ht="18" x14ac:dyDescent="0.35">
      <c r="B30" s="10"/>
      <c r="C30" s="29"/>
      <c r="D30" s="10"/>
      <c r="E30" s="10"/>
    </row>
    <row r="31" spans="2:6" ht="18" x14ac:dyDescent="0.35">
      <c r="B31" s="10"/>
      <c r="C31" s="29"/>
      <c r="D31" s="10"/>
      <c r="E31" s="10"/>
    </row>
    <row r="32" spans="2:6" ht="18" x14ac:dyDescent="0.35">
      <c r="B32" s="10"/>
      <c r="C32" s="29"/>
      <c r="D32" s="10"/>
      <c r="E32" s="10"/>
    </row>
    <row r="33" spans="2:5" ht="18" x14ac:dyDescent="0.35">
      <c r="B33" s="10"/>
      <c r="C33" s="29"/>
      <c r="D33" s="10"/>
      <c r="E33" s="10"/>
    </row>
    <row r="34" spans="2:5" ht="18" x14ac:dyDescent="0.35">
      <c r="B34" s="10"/>
      <c r="C34" s="29"/>
      <c r="D34" s="10"/>
      <c r="E34" s="10"/>
    </row>
    <row r="35" spans="2:5" ht="18" x14ac:dyDescent="0.35">
      <c r="B35" s="10"/>
      <c r="C35" s="29"/>
      <c r="D35" s="10"/>
      <c r="E35" s="10"/>
    </row>
    <row r="36" spans="2:5" ht="18" x14ac:dyDescent="0.35">
      <c r="B36" s="10"/>
      <c r="C36" s="29"/>
      <c r="D36" s="10"/>
      <c r="E36" s="10"/>
    </row>
    <row r="37" spans="2:5" ht="18" x14ac:dyDescent="0.35">
      <c r="B37" s="10"/>
      <c r="C37" s="29"/>
      <c r="D37" s="10"/>
      <c r="E37" s="10"/>
    </row>
    <row r="38" spans="2:5" ht="18" x14ac:dyDescent="0.35">
      <c r="B38" s="10"/>
      <c r="C38" s="29"/>
      <c r="D38" s="10"/>
      <c r="E38" s="10"/>
    </row>
    <row r="39" spans="2:5" ht="18" x14ac:dyDescent="0.35">
      <c r="B39" s="10"/>
      <c r="C39" s="29"/>
      <c r="D39" s="10"/>
      <c r="E39" s="10"/>
    </row>
    <row r="40" spans="2:5" ht="18" x14ac:dyDescent="0.35">
      <c r="B40" s="10"/>
      <c r="C40" s="29"/>
      <c r="D40" s="10"/>
      <c r="E40" s="10"/>
    </row>
    <row r="41" spans="2:5" ht="18" x14ac:dyDescent="0.35">
      <c r="B41" s="10"/>
      <c r="C41" s="29"/>
      <c r="D41" s="10"/>
      <c r="E41" s="10"/>
    </row>
    <row r="42" spans="2:5" ht="18" x14ac:dyDescent="0.35">
      <c r="B42" s="10"/>
      <c r="C42" s="29"/>
      <c r="D42" s="10"/>
      <c r="E42" s="10"/>
    </row>
    <row r="43" spans="2:5" ht="18" x14ac:dyDescent="0.35">
      <c r="B43" s="10"/>
      <c r="C43" s="29"/>
      <c r="D43" s="10"/>
      <c r="E43" s="10"/>
    </row>
    <row r="44" spans="2:5" ht="18" x14ac:dyDescent="0.35">
      <c r="B44" s="10"/>
      <c r="C44" s="29"/>
      <c r="D44" s="10"/>
      <c r="E44" s="10"/>
    </row>
    <row r="45" spans="2:5" ht="18" x14ac:dyDescent="0.35">
      <c r="B45" s="10"/>
      <c r="C45" s="29"/>
      <c r="D45" s="10"/>
      <c r="E45" s="10"/>
    </row>
    <row r="46" spans="2:5" ht="18" x14ac:dyDescent="0.35">
      <c r="B46" s="10"/>
      <c r="C46" s="29"/>
      <c r="D46" s="10"/>
      <c r="E46" s="10"/>
    </row>
    <row r="47" spans="2:5" ht="18" x14ac:dyDescent="0.35">
      <c r="B47" s="10"/>
      <c r="C47" s="29"/>
      <c r="D47" s="10"/>
      <c r="E47" s="10"/>
    </row>
    <row r="48" spans="2:5" ht="18" x14ac:dyDescent="0.35">
      <c r="B48" s="10"/>
      <c r="C48" s="29"/>
      <c r="D48" s="10"/>
      <c r="E48" s="10"/>
    </row>
    <row r="49" spans="2:5" ht="18" x14ac:dyDescent="0.35">
      <c r="B49" s="10"/>
      <c r="C49" s="29"/>
      <c r="D49" s="10"/>
      <c r="E49" s="10"/>
    </row>
    <row r="50" spans="2:5" ht="18" x14ac:dyDescent="0.35">
      <c r="B50" s="10"/>
      <c r="C50" s="29"/>
      <c r="D50" s="10"/>
      <c r="E50" s="10"/>
    </row>
    <row r="51" spans="2:5" ht="18" x14ac:dyDescent="0.35">
      <c r="B51" s="10"/>
      <c r="C51" s="29"/>
      <c r="D51" s="10"/>
      <c r="E51" s="10"/>
    </row>
    <row r="52" spans="2:5" ht="18" x14ac:dyDescent="0.35">
      <c r="B52" s="10"/>
      <c r="C52" s="29"/>
      <c r="D52" s="10"/>
      <c r="E52" s="10"/>
    </row>
    <row r="53" spans="2:5" ht="18" x14ac:dyDescent="0.35">
      <c r="B53" s="10"/>
      <c r="C53" s="29"/>
      <c r="D53" s="10"/>
      <c r="E53" s="10"/>
    </row>
    <row r="54" spans="2:5" ht="18" x14ac:dyDescent="0.35">
      <c r="B54" s="10"/>
      <c r="C54" s="29"/>
      <c r="D54" s="10"/>
      <c r="E54" s="10"/>
    </row>
    <row r="55" spans="2:5" ht="18" x14ac:dyDescent="0.35">
      <c r="B55" s="10"/>
      <c r="C55" s="29"/>
      <c r="D55" s="10"/>
      <c r="E55" s="10"/>
    </row>
    <row r="56" spans="2:5" ht="18" x14ac:dyDescent="0.35">
      <c r="B56" s="10"/>
      <c r="C56" s="29"/>
      <c r="D56" s="10"/>
      <c r="E56" s="10"/>
    </row>
    <row r="57" spans="2:5" ht="18" x14ac:dyDescent="0.35">
      <c r="B57" s="10"/>
      <c r="C57" s="29"/>
      <c r="D57" s="10"/>
      <c r="E57" s="10"/>
    </row>
    <row r="58" spans="2:5" ht="18" x14ac:dyDescent="0.35">
      <c r="B58" s="10"/>
      <c r="C58" s="29"/>
      <c r="D58" s="10"/>
      <c r="E58" s="10"/>
    </row>
    <row r="59" spans="2:5" ht="18" x14ac:dyDescent="0.35">
      <c r="B59" s="10"/>
      <c r="C59" s="29"/>
      <c r="D59" s="10"/>
      <c r="E59" s="10"/>
    </row>
    <row r="60" spans="2:5" ht="18" x14ac:dyDescent="0.35">
      <c r="B60" s="10"/>
      <c r="C60" s="29"/>
      <c r="D60" s="10"/>
      <c r="E60" s="10"/>
    </row>
    <row r="61" spans="2:5" ht="18" x14ac:dyDescent="0.35">
      <c r="B61" s="10"/>
      <c r="C61" s="29"/>
      <c r="D61" s="10"/>
      <c r="E61" s="10"/>
    </row>
    <row r="85" spans="4:4" x14ac:dyDescent="0.3">
      <c r="D85" s="16"/>
    </row>
  </sheetData>
  <sheetProtection selectLockedCells="1"/>
  <conditionalFormatting sqref="E30:E43">
    <cfRule type="cellIs" dxfId="4" priority="33" operator="equal">
      <formula>TRUE</formula>
    </cfRule>
  </conditionalFormatting>
  <conditionalFormatting sqref="B10:B29">
    <cfRule type="expression" dxfId="3" priority="4">
      <formula>F10="ERR"</formula>
    </cfRule>
  </conditionalFormatting>
  <conditionalFormatting sqref="C10:C29">
    <cfRule type="expression" dxfId="2" priority="3">
      <formula>F10="ERR"</formula>
    </cfRule>
  </conditionalFormatting>
  <conditionalFormatting sqref="D10:D29">
    <cfRule type="expression" dxfId="1" priority="2">
      <formula>F10="ERR"</formula>
    </cfRule>
  </conditionalFormatting>
  <conditionalFormatting sqref="E10:E29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12</v>
      </c>
      <c r="B1" s="1" t="s">
        <v>11</v>
      </c>
      <c r="C1" s="2" t="s">
        <v>13</v>
      </c>
      <c r="D1" s="2" t="s">
        <v>14</v>
      </c>
      <c r="E1" s="3" t="s">
        <v>15</v>
      </c>
      <c r="F1" s="3" t="s">
        <v>16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2025-11-25T10:13:32Z</dcterms:modified>
</cp:coreProperties>
</file>